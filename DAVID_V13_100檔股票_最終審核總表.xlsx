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df1038742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檔總表_請修正" sheetId="1" r:id="Rcbb1e23c4e2a4b39"/>
    <x:sheet xmlns:r="http://schemas.openxmlformats.org/officeDocument/2006/relationships" name="頁面架構" sheetId="2" r:id="R3dab97cfd92a4be1"/>
    <x:sheet xmlns:r="http://schemas.openxmlformats.org/officeDocument/2006/relationships" name="自動排名規則" sheetId="3" r:id="R98ff12885d854423"/>
    <x:sheet xmlns:r="http://schemas.openxmlformats.org/officeDocument/2006/relationships" name="DAVID上傳說明" sheetId="4" r:id="R297ec8e028bf41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CF3CF"/>
      </x:patternFill>
    </x:fill>
    <x:fill>
      <x:patternFill patternType="solid">
        <x:fgColor rgb="FFE8F8F5"/>
      </x:patternFill>
    </x:fill>
    <x:fill>
      <x:patternFill patternType="solid">
        <x:fgColor rgb="FFFDEDEC"/>
      </x:patternFill>
    </x:fill>
    <x:fill>
      <x:patternFill patternType="solid">
        <x:fgColor rgb="FFF5EEF8"/>
      </x:patternFill>
    </x:fill>
    <x:fill>
      <x:patternFill patternType="solid">
        <x:fgColor rgb="FFFDF2E9"/>
      </x:patternFill>
    </x:fill>
    <x:fill>
      <x:patternFill patternType="solid">
        <x:fgColor rgb="FFEBF5FB"/>
      </x:patternFill>
    </x:fill>
    <x:fill>
      <x:patternFill patternType="solid">
        <x:fgColor rgb="FFF4F6F7"/>
      </x:patternFill>
    </x:fill>
    <x:fill>
      <x:patternFill patternType="solid">
        <x:fgColor rgb="FFFFF4CC"/>
      </x:patternFill>
    </x:fill>
    <x:fill>
      <x:patternFill patternType="solid">
        <x:fgColor rgb="FFFADBD8"/>
      </x:patternFill>
    </x:fill>
    <x:fill>
      <x:patternFill patternType="solid">
        <x:fgColor rgb="FF806000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horizontal="center"/>
    </x:xf>
    <x:xf numFmtId="0" fontId="0" fillId="16" borderId="1" xfId="0" applyNumberFormat="1" applyFont="1" applyFill="1" applyBorder="1"/>
    <x:xf numFmtId="0" fontId="1" fillId="16" borderId="1" xfId="0" applyNumberFormat="1" applyFont="1" applyFill="1" applyBorder="1"/>
    <x:xf numFmtId="0" fontId="1" fillId="16" borderId="1" xfId="0" applyNumberFormat="1" applyFont="1" applyFill="1" applyBorder="1" applyAlignment="1">
      <x:alignment horizontal="center"/>
    </x:xf>
    <x:xf numFmtId="0" fontId="1" fillId="16" borderId="0" xfId="0" applyNumberFormat="1" applyFont="1" applyFill="1" applyBorder="1" applyAlignment="1">
      <x:alignment horizontal="center" wrapText="1"/>
    </x:xf>
    <x:xf numFmtId="0" fontId="1" fillId="16" borderId="1" xfId="0" applyNumberFormat="1" applyFont="1" applyFill="1" applyBorder="1" applyAlignment="1">
      <x:alignment horizontal="center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center"/>
    </x:xf>
    <x:xf numFmtId="0" fontId="0" fillId="17" borderId="1" xfId="0" applyNumberFormat="1" applyFont="1" applyFill="1" applyBorder="1"/>
    <x:xf numFmtId="0" fontId="1" fillId="17" borderId="1" xfId="0" applyNumberFormat="1" applyFont="1" applyFill="1" applyBorder="1"/>
    <x:xf numFmtId="0" fontId="1" fillId="17" borderId="1" xfId="0" applyNumberFormat="1" applyFont="1" applyFill="1" applyBorder="1" applyAlignment="1">
      <x:alignment horizontal="center"/>
    </x:xf>
    <x:xf numFmtId="0" fontId="1" fillId="17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6ed87dd6b489f" /><Relationship Type="http://schemas.openxmlformats.org/officeDocument/2006/relationships/theme" Target="/xl/theme/theme1.xml" Id="Rb31116d61a9f43e1" /><Relationship Type="http://schemas.openxmlformats.org/officeDocument/2006/relationships/sharedStrings" Target="/xl/sharedStrings.xml" Id="R765e01358c074a74" /><Relationship Type="http://schemas.openxmlformats.org/officeDocument/2006/relationships/worksheet" Target="/xl/worksheets/sheet1.xml" Id="Rcbb1e23c4e2a4b39" /><Relationship Type="http://schemas.openxmlformats.org/officeDocument/2006/relationships/worksheet" Target="/xl/worksheets/sheet2.xml" Id="R3dab97cfd92a4be1" /><Relationship Type="http://schemas.openxmlformats.org/officeDocument/2006/relationships/worksheet" Target="/xl/worksheets/sheet3.xml" Id="R98ff12885d854423" /><Relationship Type="http://schemas.openxmlformats.org/officeDocument/2006/relationships/worksheet" Target="/xl/worksheets/sheet4.xml" Id="R297ec8e028bf41e1" /></Relationships>
</file>

<file path=xl/tables/table1.xml><?xml version="1.0" encoding="utf-8"?>
<x:table xmlns:x="http://schemas.openxmlformats.org/spreadsheetml/2006/main" id="1" name="Stocks100Master" displayName="Stocks100Master" ref="A1:U101" headerRowCount="1" totalsRowCount="0" totalsRowShown="0">
  <x:tableColumns count="21">
    <x:tableColumn id="1" name="序號"/>
    <x:tableColumn id="2" name="頁面"/>
    <x:tableColumn id="3" name="頁面名稱"/>
    <x:tableColumn id="4" name="模式"/>
    <x:tableColumn id="5" name="建議代碼"/>
    <x:tableColumn id="6" name="建議公司名稱"/>
    <x:tableColumn id="7" name="建議市場"/>
    <x:tableColumn id="8" name="V13市場代號"/>
    <x:tableColumn id="9" name="Yahoo Symbol"/>
    <x:tableColumn id="10" name="族群／定位"/>
    <x:tableColumn id="11" name="官方查證來源"/>
    <x:tableColumn id="12" name="DAVID修正代碼"/>
    <x:tableColumn id="13" name="DAVID修正公司名稱"/>
    <x:tableColumn id="14" name="DAVID修正市場"/>
    <x:tableColumn id="15" name="最終代碼"/>
    <x:tableColumn id="16" name="最終公司名稱"/>
    <x:tableColumn id="17" name="最終市場"/>
    <x:tableColumn id="18" name="最終V13代號"/>
    <x:tableColumn id="19" name="最終Yahoo Symbol"/>
    <x:tableColumn id="20" name="啟用"/>
    <x:tableColumn id="21" name="DAVID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11315d5a9243e5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27" hidden="0" customWidth="1"/>
    <x:col min="4" max="4" width="15" hidden="0" customWidth="1"/>
    <x:col min="5" max="5" width="11" hidden="0" customWidth="1"/>
    <x:col min="6" max="6" width="16" hidden="0" customWidth="1"/>
    <x:col min="7" max="7" width="10" hidden="0" customWidth="1"/>
    <x:col min="8" max="8" width="12" hidden="0" customWidth="1"/>
    <x:col min="9" max="9" width="16" hidden="0" customWidth="1"/>
    <x:col min="10" max="10" width="24" hidden="0" customWidth="1"/>
    <x:col min="11" max="11" width="27" hidden="0" customWidth="1"/>
    <x:col min="12" max="12" width="14" hidden="0" customWidth="1"/>
    <x:col min="13" max="13" width="18" hidden="0" customWidth="1"/>
    <x:col min="14" max="14" width="14" hidden="0" customWidth="1"/>
    <x:col min="15" max="15" width="11" hidden="0" customWidth="1"/>
    <x:col min="16" max="16" width="18" hidden="0" customWidth="1"/>
    <x:col min="17" max="17" width="12" hidden="0" customWidth="1"/>
    <x:col min="18" max="18" width="13" hidden="0" customWidth="1"/>
    <x:col min="19" max="19" width="18" hidden="0" customWidth="1"/>
    <x:col min="20" max="20" width="8" hidden="0" customWidth="1"/>
    <x:col min="21" max="21" width="28" hidden="0" customWidth="1"/>
  </x:cols>
  <x:sheetData>
    <x:row r="1">
      <x:c r="A1" s="22" t="str">
        <x:v>序號</x:v>
      </x:c>
      <x:c r="B1" s="22" t="str">
        <x:v>頁面</x:v>
      </x:c>
      <x:c r="C1" s="22" t="str">
        <x:v>頁面名稱</x:v>
      </x:c>
      <x:c r="D1" s="22" t="str">
        <x:v>模式</x:v>
      </x:c>
      <x:c r="E1" s="22" t="str">
        <x:v>建議代碼</x:v>
      </x:c>
      <x:c r="F1" s="22" t="str">
        <x:v>建議公司名稱</x:v>
      </x:c>
      <x:c r="G1" s="22" t="str">
        <x:v>建議市場</x:v>
      </x:c>
      <x:c r="H1" s="22" t="str">
        <x:v>V13市場代號</x:v>
      </x:c>
      <x:c r="I1" s="22" t="str">
        <x:v>Yahoo Symbol</x:v>
      </x:c>
      <x:c r="J1" s="22" t="str">
        <x:v>族群／定位</x:v>
      </x:c>
      <x:c r="K1" s="22" t="str">
        <x:v>官方查證來源</x:v>
      </x:c>
      <x:c r="L1" s="23" t="str">
        <x:v>DAVID修正代碼</x:v>
      </x:c>
      <x:c r="M1" s="23" t="str">
        <x:v>DAVID修正公司名稱</x:v>
      </x:c>
      <x:c r="N1" s="23" t="str">
        <x:v>DAVID修正市場</x:v>
      </x:c>
      <x:c r="O1" s="24" t="str">
        <x:v>最終代碼</x:v>
      </x:c>
      <x:c r="P1" s="24" t="str">
        <x:v>最終公司名稱</x:v>
      </x:c>
      <x:c r="Q1" s="24" t="str">
        <x:v>最終市場</x:v>
      </x:c>
      <x:c r="R1" s="24" t="str">
        <x:v>最終V13代號</x:v>
      </x:c>
      <x:c r="S1" s="24" t="str">
        <x:v>最終Yahoo Symbol</x:v>
      </x:c>
      <x:c r="T1" s="22" t="str">
        <x:v>啟用</x:v>
      </x:c>
      <x:c r="U1" s="25" t="str">
        <x:v>DAVID備註</x:v>
      </x:c>
    </x:row>
    <x:row r="2">
      <x:c r="A2" s="38" t="n">
        <x:v>1</x:v>
      </x:c>
      <x:c r="B2" s="38" t="n">
        <x:v>1</x:v>
      </x:c>
      <x:c r="C2" s="38" t="str">
        <x:v>AI伺服器／ASIC／核心運算</x:v>
      </x:c>
      <x:c r="D2" s="38" t="str">
        <x:v>固定核心</x:v>
      </x:c>
      <x:c r="E2" s="38" t="str">
        <x:v>2330</x:v>
      </x:c>
      <x:c r="F2" s="38" t="str">
        <x:v>台積電</x:v>
      </x:c>
      <x:c r="G2" s="38" t="str">
        <x:v>上市</x:v>
      </x:c>
      <x:c r="H2" s="38" t="str">
        <x:v>TW</x:v>
      </x:c>
      <x:c r="I2" s="38" t="str">
        <x:v>2330.TW</x:v>
      </x:c>
      <x:c r="J2" s="38" t="str">
        <x:v>AI晶圓代工／先進製程</x:v>
      </x:c>
      <x:c r="K2" s="38" t="str">
        <x:v>https://www.twse.com.tw/</x:v>
      </x:c>
      <x:c r="L2" s="27" t="str"/>
      <x:c r="M2" s="27" t="str"/>
      <x:c r="N2" s="27" t="str"/>
      <x:c r="O2" s="28" t="str">
        <x:f>IF(L2&lt;&gt;"",L2,E2)</x:f>
        <x:v>2330</x:v>
      </x:c>
      <x:c r="P2" s="28" t="str">
        <x:f>IF(M2&lt;&gt;"",M2,F2)</x:f>
        <x:v>台積電</x:v>
      </x:c>
      <x:c r="Q2" s="28" t="str">
        <x:f>IF(N2&lt;&gt;"",N2,G2)</x:f>
        <x:v>上市</x:v>
      </x:c>
      <x:c r="R2" s="28" t="str">
        <x:f>IF(Q2="上市","TW",IF(Q2="上櫃","TWO",""))</x:f>
        <x:v>TW</x:v>
      </x:c>
      <x:c r="S2" s="28" t="str">
        <x:f>IF(OR(O2="",R2=""),"",O2&amp;"."&amp;R2)</x:f>
        <x:v>2330.TW</x:v>
      </x:c>
      <x:c r="T2" s="26" t="str">
        <x:v>是</x:v>
      </x:c>
      <x:c r="U2" s="29" t="str"/>
    </x:row>
    <x:row r="3">
      <x:c r="A3" s="38" t="n">
        <x:v>2</x:v>
      </x:c>
      <x:c r="B3" s="38" t="n">
        <x:v>1</x:v>
      </x:c>
      <x:c r="C3" s="38" t="str">
        <x:v>AI伺服器／ASIC／核心運算</x:v>
      </x:c>
      <x:c r="D3" s="38" t="str">
        <x:v>固定核心</x:v>
      </x:c>
      <x:c r="E3" s="38" t="str">
        <x:v>2454</x:v>
      </x:c>
      <x:c r="F3" s="38" t="str">
        <x:v>聯發科</x:v>
      </x:c>
      <x:c r="G3" s="38" t="str">
        <x:v>上市</x:v>
      </x:c>
      <x:c r="H3" s="38" t="str">
        <x:v>TW</x:v>
      </x:c>
      <x:c r="I3" s="38" t="str">
        <x:v>2454.TW</x:v>
      </x:c>
      <x:c r="J3" s="38" t="str">
        <x:v>AI／ASIC／IC設計</x:v>
      </x:c>
      <x:c r="K3" s="38" t="str">
        <x:v>https://www.twse.com.tw/</x:v>
      </x:c>
      <x:c r="L3" s="27" t="str"/>
      <x:c r="M3" s="27" t="str"/>
      <x:c r="N3" s="27" t="str"/>
      <x:c r="O3" s="28" t="str">
        <x:f>IF(L3&lt;&gt;"",L3,E3)</x:f>
        <x:v>2454</x:v>
      </x:c>
      <x:c r="P3" s="28" t="str">
        <x:f>IF(M3&lt;&gt;"",M3,F3)</x:f>
        <x:v>聯發科</x:v>
      </x:c>
      <x:c r="Q3" s="28" t="str">
        <x:f>IF(N3&lt;&gt;"",N3,G3)</x:f>
        <x:v>上市</x:v>
      </x:c>
      <x:c r="R3" s="28" t="str">
        <x:f>IF(Q3="上市","TW",IF(Q3="上櫃","TWO",""))</x:f>
        <x:v>TW</x:v>
      </x:c>
      <x:c r="S3" s="28" t="str">
        <x:f>IF(OR(O3="",R3=""),"",O3&amp;"."&amp;R3)</x:f>
        <x:v>2454.TW</x:v>
      </x:c>
      <x:c r="T3" s="26" t="str">
        <x:v>是</x:v>
      </x:c>
      <x:c r="U3" s="29" t="str"/>
    </x:row>
    <x:row r="4">
      <x:c r="A4" s="38" t="n">
        <x:v>3</x:v>
      </x:c>
      <x:c r="B4" s="38" t="n">
        <x:v>1</x:v>
      </x:c>
      <x:c r="C4" s="38" t="str">
        <x:v>AI伺服器／ASIC／核心運算</x:v>
      </x:c>
      <x:c r="D4" s="38" t="str">
        <x:v>固定核心</x:v>
      </x:c>
      <x:c r="E4" s="38" t="str">
        <x:v>2317</x:v>
      </x:c>
      <x:c r="F4" s="38" t="str">
        <x:v>鴻海</x:v>
      </x:c>
      <x:c r="G4" s="38" t="str">
        <x:v>上市</x:v>
      </x:c>
      <x:c r="H4" s="38" t="str">
        <x:v>TW</x:v>
      </x:c>
      <x:c r="I4" s="38" t="str">
        <x:v>2317.TW</x:v>
      </x:c>
      <x:c r="J4" s="38" t="str">
        <x:v>AI伺服器／系統整合</x:v>
      </x:c>
      <x:c r="K4" s="38" t="str">
        <x:v>https://www.twse.com.tw/</x:v>
      </x:c>
      <x:c r="L4" s="27" t="str"/>
      <x:c r="M4" s="27" t="str"/>
      <x:c r="N4" s="27" t="str"/>
      <x:c r="O4" s="28" t="str">
        <x:f>IF(L4&lt;&gt;"",L4,E4)</x:f>
        <x:v>2317</x:v>
      </x:c>
      <x:c r="P4" s="28" t="str">
        <x:f>IF(M4&lt;&gt;"",M4,F4)</x:f>
        <x:v>鴻海</x:v>
      </x:c>
      <x:c r="Q4" s="28" t="str">
        <x:f>IF(N4&lt;&gt;"",N4,G4)</x:f>
        <x:v>上市</x:v>
      </x:c>
      <x:c r="R4" s="28" t="str">
        <x:f>IF(Q4="上市","TW",IF(Q4="上櫃","TWO",""))</x:f>
        <x:v>TW</x:v>
      </x:c>
      <x:c r="S4" s="28" t="str">
        <x:f>IF(OR(O4="",R4=""),"",O4&amp;"."&amp;R4)</x:f>
        <x:v>2317.TW</x:v>
      </x:c>
      <x:c r="T4" s="26" t="str">
        <x:v>是</x:v>
      </x:c>
      <x:c r="U4" s="29" t="str"/>
    </x:row>
    <x:row r="5">
      <x:c r="A5" s="38" t="n">
        <x:v>4</x:v>
      </x:c>
      <x:c r="B5" s="38" t="n">
        <x:v>1</x:v>
      </x:c>
      <x:c r="C5" s="38" t="str">
        <x:v>AI伺服器／ASIC／核心運算</x:v>
      </x:c>
      <x:c r="D5" s="38" t="str">
        <x:v>固定核心</x:v>
      </x:c>
      <x:c r="E5" s="38" t="str">
        <x:v>2382</x:v>
      </x:c>
      <x:c r="F5" s="38" t="str">
        <x:v>廣達</x:v>
      </x:c>
      <x:c r="G5" s="38" t="str">
        <x:v>上市</x:v>
      </x:c>
      <x:c r="H5" s="38" t="str">
        <x:v>TW</x:v>
      </x:c>
      <x:c r="I5" s="38" t="str">
        <x:v>2382.TW</x:v>
      </x:c>
      <x:c r="J5" s="38" t="str">
        <x:v>AI伺服器</x:v>
      </x:c>
      <x:c r="K5" s="38" t="str">
        <x:v>https://www.twse.com.tw/</x:v>
      </x:c>
      <x:c r="L5" s="27" t="str"/>
      <x:c r="M5" s="27" t="str"/>
      <x:c r="N5" s="27" t="str"/>
      <x:c r="O5" s="28" t="str">
        <x:f>IF(L5&lt;&gt;"",L5,E5)</x:f>
        <x:v>2382</x:v>
      </x:c>
      <x:c r="P5" s="28" t="str">
        <x:f>IF(M5&lt;&gt;"",M5,F5)</x:f>
        <x:v>廣達</x:v>
      </x:c>
      <x:c r="Q5" s="28" t="str">
        <x:f>IF(N5&lt;&gt;"",N5,G5)</x:f>
        <x:v>上市</x:v>
      </x:c>
      <x:c r="R5" s="28" t="str">
        <x:f>IF(Q5="上市","TW",IF(Q5="上櫃","TWO",""))</x:f>
        <x:v>TW</x:v>
      </x:c>
      <x:c r="S5" s="28" t="str">
        <x:f>IF(OR(O5="",R5=""),"",O5&amp;"."&amp;R5)</x:f>
        <x:v>2382.TW</x:v>
      </x:c>
      <x:c r="T5" s="26" t="str">
        <x:v>是</x:v>
      </x:c>
      <x:c r="U5" s="29" t="str"/>
    </x:row>
    <x:row r="6">
      <x:c r="A6" s="38" t="n">
        <x:v>5</x:v>
      </x:c>
      <x:c r="B6" s="38" t="n">
        <x:v>1</x:v>
      </x:c>
      <x:c r="C6" s="38" t="str">
        <x:v>AI伺服器／ASIC／核心運算</x:v>
      </x:c>
      <x:c r="D6" s="38" t="str">
        <x:v>固定核心</x:v>
      </x:c>
      <x:c r="E6" s="38" t="str">
        <x:v>3231</x:v>
      </x:c>
      <x:c r="F6" s="38" t="str">
        <x:v>緯創</x:v>
      </x:c>
      <x:c r="G6" s="38" t="str">
        <x:v>上市</x:v>
      </x:c>
      <x:c r="H6" s="38" t="str">
        <x:v>TW</x:v>
      </x:c>
      <x:c r="I6" s="38" t="str">
        <x:v>3231.TW</x:v>
      </x:c>
      <x:c r="J6" s="38" t="str">
        <x:v>AI伺服器</x:v>
      </x:c>
      <x:c r="K6" s="38" t="str">
        <x:v>https://www.twse.com.tw/</x:v>
      </x:c>
      <x:c r="L6" s="27" t="str"/>
      <x:c r="M6" s="27" t="str"/>
      <x:c r="N6" s="27" t="str"/>
      <x:c r="O6" s="28" t="str">
        <x:f>IF(L6&lt;&gt;"",L6,E6)</x:f>
        <x:v>3231</x:v>
      </x:c>
      <x:c r="P6" s="28" t="str">
        <x:f>IF(M6&lt;&gt;"",M6,F6)</x:f>
        <x:v>緯創</x:v>
      </x:c>
      <x:c r="Q6" s="28" t="str">
        <x:f>IF(N6&lt;&gt;"",N6,G6)</x:f>
        <x:v>上市</x:v>
      </x:c>
      <x:c r="R6" s="28" t="str">
        <x:f>IF(Q6="上市","TW",IF(Q6="上櫃","TWO",""))</x:f>
        <x:v>TW</x:v>
      </x:c>
      <x:c r="S6" s="28" t="str">
        <x:f>IF(OR(O6="",R6=""),"",O6&amp;"."&amp;R6)</x:f>
        <x:v>3231.TW</x:v>
      </x:c>
      <x:c r="T6" s="26" t="str">
        <x:v>是</x:v>
      </x:c>
      <x:c r="U6" s="29" t="str"/>
    </x:row>
    <x:row r="7">
      <x:c r="A7" s="38" t="n">
        <x:v>6</x:v>
      </x:c>
      <x:c r="B7" s="38" t="n">
        <x:v>1</x:v>
      </x:c>
      <x:c r="C7" s="38" t="str">
        <x:v>AI伺服器／ASIC／核心運算</x:v>
      </x:c>
      <x:c r="D7" s="38" t="str">
        <x:v>固定核心</x:v>
      </x:c>
      <x:c r="E7" s="38" t="str">
        <x:v>6669</x:v>
      </x:c>
      <x:c r="F7" s="38" t="str">
        <x:v>緯穎</x:v>
      </x:c>
      <x:c r="G7" s="38" t="str">
        <x:v>上市</x:v>
      </x:c>
      <x:c r="H7" s="38" t="str">
        <x:v>TW</x:v>
      </x:c>
      <x:c r="I7" s="38" t="str">
        <x:v>6669.TW</x:v>
      </x:c>
      <x:c r="J7" s="38" t="str">
        <x:v>AI伺服器</x:v>
      </x:c>
      <x:c r="K7" s="38" t="str">
        <x:v>https://www.twse.com.tw/</x:v>
      </x:c>
      <x:c r="L7" s="27" t="str"/>
      <x:c r="M7" s="27" t="str"/>
      <x:c r="N7" s="27" t="str"/>
      <x:c r="O7" s="28" t="str">
        <x:f>IF(L7&lt;&gt;"",L7,E7)</x:f>
        <x:v>6669</x:v>
      </x:c>
      <x:c r="P7" s="28" t="str">
        <x:f>IF(M7&lt;&gt;"",M7,F7)</x:f>
        <x:v>緯穎</x:v>
      </x:c>
      <x:c r="Q7" s="28" t="str">
        <x:f>IF(N7&lt;&gt;"",N7,G7)</x:f>
        <x:v>上市</x:v>
      </x:c>
      <x:c r="R7" s="28" t="str">
        <x:f>IF(Q7="上市","TW",IF(Q7="上櫃","TWO",""))</x:f>
        <x:v>TW</x:v>
      </x:c>
      <x:c r="S7" s="28" t="str">
        <x:f>IF(OR(O7="",R7=""),"",O7&amp;"."&amp;R7)</x:f>
        <x:v>6669.TW</x:v>
      </x:c>
      <x:c r="T7" s="26" t="str">
        <x:v>是</x:v>
      </x:c>
      <x:c r="U7" s="29" t="str"/>
    </x:row>
    <x:row r="8">
      <x:c r="A8" s="38" t="n">
        <x:v>7</x:v>
      </x:c>
      <x:c r="B8" s="38" t="n">
        <x:v>1</x:v>
      </x:c>
      <x:c r="C8" s="38" t="str">
        <x:v>AI伺服器／ASIC／核心運算</x:v>
      </x:c>
      <x:c r="D8" s="38" t="str">
        <x:v>固定核心</x:v>
      </x:c>
      <x:c r="E8" s="38" t="str">
        <x:v>3443</x:v>
      </x:c>
      <x:c r="F8" s="38" t="str">
        <x:v>創意</x:v>
      </x:c>
      <x:c r="G8" s="38" t="str">
        <x:v>上市</x:v>
      </x:c>
      <x:c r="H8" s="38" t="str">
        <x:v>TW</x:v>
      </x:c>
      <x:c r="I8" s="38" t="str">
        <x:v>3443.TW</x:v>
      </x:c>
      <x:c r="J8" s="38" t="str">
        <x:v>ASIC／SoC</x:v>
      </x:c>
      <x:c r="K8" s="38" t="str">
        <x:v>https://www.twse.com.tw/</x:v>
      </x:c>
      <x:c r="L8" s="27" t="str"/>
      <x:c r="M8" s="27" t="str"/>
      <x:c r="N8" s="27" t="str"/>
      <x:c r="O8" s="28" t="str">
        <x:f>IF(L8&lt;&gt;"",L8,E8)</x:f>
        <x:v>3443</x:v>
      </x:c>
      <x:c r="P8" s="28" t="str">
        <x:f>IF(M8&lt;&gt;"",M8,F8)</x:f>
        <x:v>創意</x:v>
      </x:c>
      <x:c r="Q8" s="28" t="str">
        <x:f>IF(N8&lt;&gt;"",N8,G8)</x:f>
        <x:v>上市</x:v>
      </x:c>
      <x:c r="R8" s="28" t="str">
        <x:f>IF(Q8="上市","TW",IF(Q8="上櫃","TWO",""))</x:f>
        <x:v>TW</x:v>
      </x:c>
      <x:c r="S8" s="28" t="str">
        <x:f>IF(OR(O8="",R8=""),"",O8&amp;"."&amp;R8)</x:f>
        <x:v>3443.TW</x:v>
      </x:c>
      <x:c r="T8" s="26" t="str">
        <x:v>是</x:v>
      </x:c>
      <x:c r="U8" s="29" t="str"/>
    </x:row>
    <x:row r="9">
      <x:c r="A9" s="38" t="n">
        <x:v>8</x:v>
      </x:c>
      <x:c r="B9" s="38" t="n">
        <x:v>1</x:v>
      </x:c>
      <x:c r="C9" s="38" t="str">
        <x:v>AI伺服器／ASIC／核心運算</x:v>
      </x:c>
      <x:c r="D9" s="38" t="str">
        <x:v>固定核心</x:v>
      </x:c>
      <x:c r="E9" s="38" t="str">
        <x:v>3661</x:v>
      </x:c>
      <x:c r="F9" s="38" t="str">
        <x:v>世芯-KY</x:v>
      </x:c>
      <x:c r="G9" s="38" t="str">
        <x:v>上市</x:v>
      </x:c>
      <x:c r="H9" s="38" t="str">
        <x:v>TW</x:v>
      </x:c>
      <x:c r="I9" s="38" t="str">
        <x:v>3661.TW</x:v>
      </x:c>
      <x:c r="J9" s="38" t="str">
        <x:v>ASIC</x:v>
      </x:c>
      <x:c r="K9" s="38" t="str">
        <x:v>https://www.twse.com.tw/</x:v>
      </x:c>
      <x:c r="L9" s="27" t="str"/>
      <x:c r="M9" s="27" t="str"/>
      <x:c r="N9" s="27" t="str"/>
      <x:c r="O9" s="28" t="str">
        <x:f>IF(L9&lt;&gt;"",L9,E9)</x:f>
        <x:v>3661</x:v>
      </x:c>
      <x:c r="P9" s="28" t="str">
        <x:f>IF(M9&lt;&gt;"",M9,F9)</x:f>
        <x:v>世芯-KY</x:v>
      </x:c>
      <x:c r="Q9" s="28" t="str">
        <x:f>IF(N9&lt;&gt;"",N9,G9)</x:f>
        <x:v>上市</x:v>
      </x:c>
      <x:c r="R9" s="28" t="str">
        <x:f>IF(Q9="上市","TW",IF(Q9="上櫃","TWO",""))</x:f>
        <x:v>TW</x:v>
      </x:c>
      <x:c r="S9" s="28" t="str">
        <x:f>IF(OR(O9="",R9=""),"",O9&amp;"."&amp;R9)</x:f>
        <x:v>3661.TW</x:v>
      </x:c>
      <x:c r="T9" s="26" t="str">
        <x:v>是</x:v>
      </x:c>
      <x:c r="U9" s="29" t="str"/>
    </x:row>
    <x:row r="10">
      <x:c r="A10" s="38" t="n">
        <x:v>9</x:v>
      </x:c>
      <x:c r="B10" s="38" t="n">
        <x:v>1</x:v>
      </x:c>
      <x:c r="C10" s="38" t="str">
        <x:v>AI伺服器／ASIC／核心運算</x:v>
      </x:c>
      <x:c r="D10" s="38" t="str">
        <x:v>固定核心</x:v>
      </x:c>
      <x:c r="E10" s="38" t="str">
        <x:v>2357</x:v>
      </x:c>
      <x:c r="F10" s="38" t="str">
        <x:v>華碩</x:v>
      </x:c>
      <x:c r="G10" s="38" t="str">
        <x:v>上市</x:v>
      </x:c>
      <x:c r="H10" s="38" t="str">
        <x:v>TW</x:v>
      </x:c>
      <x:c r="I10" s="38" t="str">
        <x:v>2357.TW</x:v>
      </x:c>
      <x:c r="J10" s="38" t="str">
        <x:v>AI PC／伺服器</x:v>
      </x:c>
      <x:c r="K10" s="38" t="str">
        <x:v>https://www.twse.com.tw/</x:v>
      </x:c>
      <x:c r="L10" s="27" t="str"/>
      <x:c r="M10" s="27" t="str"/>
      <x:c r="N10" s="27" t="str"/>
      <x:c r="O10" s="28" t="str">
        <x:f>IF(L10&lt;&gt;"",L10,E10)</x:f>
        <x:v>2357</x:v>
      </x:c>
      <x:c r="P10" s="28" t="str">
        <x:f>IF(M10&lt;&gt;"",M10,F10)</x:f>
        <x:v>華碩</x:v>
      </x:c>
      <x:c r="Q10" s="28" t="str">
        <x:f>IF(N10&lt;&gt;"",N10,G10)</x:f>
        <x:v>上市</x:v>
      </x:c>
      <x:c r="R10" s="28" t="str">
        <x:f>IF(Q10="上市","TW",IF(Q10="上櫃","TWO",""))</x:f>
        <x:v>TW</x:v>
      </x:c>
      <x:c r="S10" s="28" t="str">
        <x:f>IF(OR(O10="",R10=""),"",O10&amp;"."&amp;R10)</x:f>
        <x:v>2357.TW</x:v>
      </x:c>
      <x:c r="T10" s="26" t="str">
        <x:v>是</x:v>
      </x:c>
      <x:c r="U10" s="29" t="str"/>
    </x:row>
    <x:row r="11">
      <x:c r="A11" s="38" t="n">
        <x:v>10</x:v>
      </x:c>
      <x:c r="B11" s="38" t="n">
        <x:v>1</x:v>
      </x:c>
      <x:c r="C11" s="38" t="str">
        <x:v>AI伺服器／ASIC／核心運算</x:v>
      </x:c>
      <x:c r="D11" s="38" t="str">
        <x:v>固定核心</x:v>
      </x:c>
      <x:c r="E11" s="38" t="str">
        <x:v>2376</x:v>
      </x:c>
      <x:c r="F11" s="38" t="str">
        <x:v>技嘉</x:v>
      </x:c>
      <x:c r="G11" s="38" t="str">
        <x:v>上市</x:v>
      </x:c>
      <x:c r="H11" s="38" t="str">
        <x:v>TW</x:v>
      </x:c>
      <x:c r="I11" s="38" t="str">
        <x:v>2376.TW</x:v>
      </x:c>
      <x:c r="J11" s="38" t="str">
        <x:v>AI伺服器／AI PC</x:v>
      </x:c>
      <x:c r="K11" s="38" t="str">
        <x:v>https://www.twse.com.tw/</x:v>
      </x:c>
      <x:c r="L11" s="27" t="str"/>
      <x:c r="M11" s="27" t="str"/>
      <x:c r="N11" s="27" t="str"/>
      <x:c r="O11" s="28" t="str">
        <x:f>IF(L11&lt;&gt;"",L11,E11)</x:f>
        <x:v>2376</x:v>
      </x:c>
      <x:c r="P11" s="28" t="str">
        <x:f>IF(M11&lt;&gt;"",M11,F11)</x:f>
        <x:v>技嘉</x:v>
      </x:c>
      <x:c r="Q11" s="28" t="str">
        <x:f>IF(N11&lt;&gt;"",N11,G11)</x:f>
        <x:v>上市</x:v>
      </x:c>
      <x:c r="R11" s="28" t="str">
        <x:f>IF(Q11="上市","TW",IF(Q11="上櫃","TWO",""))</x:f>
        <x:v>TW</x:v>
      </x:c>
      <x:c r="S11" s="28" t="str">
        <x:f>IF(OR(O11="",R11=""),"",O11&amp;"."&amp;R11)</x:f>
        <x:v>2376.TW</x:v>
      </x:c>
      <x:c r="T11" s="26" t="str">
        <x:v>是</x:v>
      </x:c>
      <x:c r="U11" s="29" t="str"/>
    </x:row>
    <x:row r="12">
      <x:c r="A12" s="40" t="n">
        <x:v>11</x:v>
      </x:c>
      <x:c r="B12" s="40" t="n">
        <x:v>2</x:v>
      </x:c>
      <x:c r="C12" s="40" t="str">
        <x:v>PCB／CCL／ABF載板</x:v>
      </x:c>
      <x:c r="D12" s="40" t="str">
        <x:v>固定核心</x:v>
      </x:c>
      <x:c r="E12" s="40" t="str">
        <x:v>2383</x:v>
      </x:c>
      <x:c r="F12" s="40" t="str">
        <x:v>台光電</x:v>
      </x:c>
      <x:c r="G12" s="40" t="str">
        <x:v>上市</x:v>
      </x:c>
      <x:c r="H12" s="40" t="str">
        <x:v>TW</x:v>
      </x:c>
      <x:c r="I12" s="40" t="str">
        <x:v>2383.TW</x:v>
      </x:c>
      <x:c r="J12" s="40" t="str">
        <x:v>CCL／高速材料</x:v>
      </x:c>
      <x:c r="K12" s="40" t="str">
        <x:v>https://www.twse.com.tw/</x:v>
      </x:c>
      <x:c r="L12" s="27" t="str"/>
      <x:c r="M12" s="27" t="str"/>
      <x:c r="N12" s="27" t="str"/>
      <x:c r="O12" s="28" t="str">
        <x:f>IF(L12&lt;&gt;"",L12,E12)</x:f>
        <x:v>2383</x:v>
      </x:c>
      <x:c r="P12" s="28" t="str">
        <x:f>IF(M12&lt;&gt;"",M12,F12)</x:f>
        <x:v>台光電</x:v>
      </x:c>
      <x:c r="Q12" s="28" t="str">
        <x:f>IF(N12&lt;&gt;"",N12,G12)</x:f>
        <x:v>上市</x:v>
      </x:c>
      <x:c r="R12" s="28" t="str">
        <x:f>IF(Q12="上市","TW",IF(Q12="上櫃","TWO",""))</x:f>
        <x:v>TW</x:v>
      </x:c>
      <x:c r="S12" s="28" t="str">
        <x:f>IF(OR(O12="",R12=""),"",O12&amp;"."&amp;R12)</x:f>
        <x:v>2383.TW</x:v>
      </x:c>
      <x:c r="T12" s="26" t="str">
        <x:v>是</x:v>
      </x:c>
      <x:c r="U12" s="29" t="str"/>
    </x:row>
    <x:row r="13">
      <x:c r="A13" s="40" t="n">
        <x:v>12</x:v>
      </x:c>
      <x:c r="B13" s="40" t="n">
        <x:v>2</x:v>
      </x:c>
      <x:c r="C13" s="40" t="str">
        <x:v>PCB／CCL／ABF載板</x:v>
      </x:c>
      <x:c r="D13" s="40" t="str">
        <x:v>固定核心</x:v>
      </x:c>
      <x:c r="E13" s="40" t="str">
        <x:v>2368</x:v>
      </x:c>
      <x:c r="F13" s="40" t="str">
        <x:v>金像電</x:v>
      </x:c>
      <x:c r="G13" s="40" t="str">
        <x:v>上市</x:v>
      </x:c>
      <x:c r="H13" s="40" t="str">
        <x:v>TW</x:v>
      </x:c>
      <x:c r="I13" s="40" t="str">
        <x:v>2368.TW</x:v>
      </x:c>
      <x:c r="J13" s="40" t="str">
        <x:v>AI伺服器PCB</x:v>
      </x:c>
      <x:c r="K13" s="40" t="str">
        <x:v>https://www.twse.com.tw/</x:v>
      </x:c>
      <x:c r="L13" s="27" t="str"/>
      <x:c r="M13" s="27" t="str"/>
      <x:c r="N13" s="27" t="str"/>
      <x:c r="O13" s="28" t="str">
        <x:f>IF(L13&lt;&gt;"",L13,E13)</x:f>
        <x:v>2368</x:v>
      </x:c>
      <x:c r="P13" s="28" t="str">
        <x:f>IF(M13&lt;&gt;"",M13,F13)</x:f>
        <x:v>金像電</x:v>
      </x:c>
      <x:c r="Q13" s="28" t="str">
        <x:f>IF(N13&lt;&gt;"",N13,G13)</x:f>
        <x:v>上市</x:v>
      </x:c>
      <x:c r="R13" s="28" t="str">
        <x:f>IF(Q13="上市","TW",IF(Q13="上櫃","TWO",""))</x:f>
        <x:v>TW</x:v>
      </x:c>
      <x:c r="S13" s="28" t="str">
        <x:f>IF(OR(O13="",R13=""),"",O13&amp;"."&amp;R13)</x:f>
        <x:v>2368.TW</x:v>
      </x:c>
      <x:c r="T13" s="26" t="str">
        <x:v>是</x:v>
      </x:c>
      <x:c r="U13" s="29" t="str"/>
    </x:row>
    <x:row r="14">
      <x:c r="A14" s="40" t="n">
        <x:v>13</x:v>
      </x:c>
      <x:c r="B14" s="40" t="n">
        <x:v>2</x:v>
      </x:c>
      <x:c r="C14" s="40" t="str">
        <x:v>PCB／CCL／ABF載板</x:v>
      </x:c>
      <x:c r="D14" s="40" t="str">
        <x:v>固定核心</x:v>
      </x:c>
      <x:c r="E14" s="40" t="str">
        <x:v>3037</x:v>
      </x:c>
      <x:c r="F14" s="40" t="str">
        <x:v>欣興</x:v>
      </x:c>
      <x:c r="G14" s="40" t="str">
        <x:v>上市</x:v>
      </x:c>
      <x:c r="H14" s="40" t="str">
        <x:v>TW</x:v>
      </x:c>
      <x:c r="I14" s="40" t="str">
        <x:v>3037.TW</x:v>
      </x:c>
      <x:c r="J14" s="40" t="str">
        <x:v>ABF／PCB</x:v>
      </x:c>
      <x:c r="K14" s="40" t="str">
        <x:v>https://www.twse.com.tw/</x:v>
      </x:c>
      <x:c r="L14" s="27" t="str"/>
      <x:c r="M14" s="27" t="str"/>
      <x:c r="N14" s="27" t="str"/>
      <x:c r="O14" s="28" t="str">
        <x:f>IF(L14&lt;&gt;"",L14,E14)</x:f>
        <x:v>3037</x:v>
      </x:c>
      <x:c r="P14" s="28" t="str">
        <x:f>IF(M14&lt;&gt;"",M14,F14)</x:f>
        <x:v>欣興</x:v>
      </x:c>
      <x:c r="Q14" s="28" t="str">
        <x:f>IF(N14&lt;&gt;"",N14,G14)</x:f>
        <x:v>上市</x:v>
      </x:c>
      <x:c r="R14" s="28" t="str">
        <x:f>IF(Q14="上市","TW",IF(Q14="上櫃","TWO",""))</x:f>
        <x:v>TW</x:v>
      </x:c>
      <x:c r="S14" s="28" t="str">
        <x:f>IF(OR(O14="",R14=""),"",O14&amp;"."&amp;R14)</x:f>
        <x:v>3037.TW</x:v>
      </x:c>
      <x:c r="T14" s="26" t="str">
        <x:v>是</x:v>
      </x:c>
      <x:c r="U14" s="29" t="str"/>
    </x:row>
    <x:row r="15">
      <x:c r="A15" s="40" t="n">
        <x:v>14</x:v>
      </x:c>
      <x:c r="B15" s="40" t="n">
        <x:v>2</x:v>
      </x:c>
      <x:c r="C15" s="40" t="str">
        <x:v>PCB／CCL／ABF載板</x:v>
      </x:c>
      <x:c r="D15" s="40" t="str">
        <x:v>固定核心</x:v>
      </x:c>
      <x:c r="E15" s="40" t="str">
        <x:v>8046</x:v>
      </x:c>
      <x:c r="F15" s="40" t="str">
        <x:v>南電</x:v>
      </x:c>
      <x:c r="G15" s="40" t="str">
        <x:v>上市</x:v>
      </x:c>
      <x:c r="H15" s="40" t="str">
        <x:v>TW</x:v>
      </x:c>
      <x:c r="I15" s="40" t="str">
        <x:v>8046.TW</x:v>
      </x:c>
      <x:c r="J15" s="40" t="str">
        <x:v>ABF載板</x:v>
      </x:c>
      <x:c r="K15" s="40" t="str">
        <x:v>https://www.twse.com.tw/</x:v>
      </x:c>
      <x:c r="L15" s="27" t="str"/>
      <x:c r="M15" s="27" t="str"/>
      <x:c r="N15" s="27" t="str"/>
      <x:c r="O15" s="28" t="str">
        <x:f>IF(L15&lt;&gt;"",L15,E15)</x:f>
        <x:v>8046</x:v>
      </x:c>
      <x:c r="P15" s="28" t="str">
        <x:f>IF(M15&lt;&gt;"",M15,F15)</x:f>
        <x:v>南電</x:v>
      </x:c>
      <x:c r="Q15" s="28" t="str">
        <x:f>IF(N15&lt;&gt;"",N15,G15)</x:f>
        <x:v>上市</x:v>
      </x:c>
      <x:c r="R15" s="28" t="str">
        <x:f>IF(Q15="上市","TW",IF(Q15="上櫃","TWO",""))</x:f>
        <x:v>TW</x:v>
      </x:c>
      <x:c r="S15" s="28" t="str">
        <x:f>IF(OR(O15="",R15=""),"",O15&amp;"."&amp;R15)</x:f>
        <x:v>8046.TW</x:v>
      </x:c>
      <x:c r="T15" s="26" t="str">
        <x:v>是</x:v>
      </x:c>
      <x:c r="U15" s="29" t="str"/>
    </x:row>
    <x:row r="16">
      <x:c r="A16" s="40" t="n">
        <x:v>15</x:v>
      </x:c>
      <x:c r="B16" s="40" t="n">
        <x:v>2</x:v>
      </x:c>
      <x:c r="C16" s="40" t="str">
        <x:v>PCB／CCL／ABF載板</x:v>
      </x:c>
      <x:c r="D16" s="40" t="str">
        <x:v>固定核心</x:v>
      </x:c>
      <x:c r="E16" s="40" t="str">
        <x:v>3189</x:v>
      </x:c>
      <x:c r="F16" s="40" t="str">
        <x:v>景碩</x:v>
      </x:c>
      <x:c r="G16" s="40" t="str">
        <x:v>上市</x:v>
      </x:c>
      <x:c r="H16" s="40" t="str">
        <x:v>TW</x:v>
      </x:c>
      <x:c r="I16" s="40" t="str">
        <x:v>3189.TW</x:v>
      </x:c>
      <x:c r="J16" s="40" t="str">
        <x:v>ABF／IC載板</x:v>
      </x:c>
      <x:c r="K16" s="40" t="str">
        <x:v>https://www.twse.com.tw/</x:v>
      </x:c>
      <x:c r="L16" s="27" t="str"/>
      <x:c r="M16" s="27" t="str"/>
      <x:c r="N16" s="27" t="str"/>
      <x:c r="O16" s="28" t="str">
        <x:f>IF(L16&lt;&gt;"",L16,E16)</x:f>
        <x:v>3189</x:v>
      </x:c>
      <x:c r="P16" s="28" t="str">
        <x:f>IF(M16&lt;&gt;"",M16,F16)</x:f>
        <x:v>景碩</x:v>
      </x:c>
      <x:c r="Q16" s="28" t="str">
        <x:f>IF(N16&lt;&gt;"",N16,G16)</x:f>
        <x:v>上市</x:v>
      </x:c>
      <x:c r="R16" s="28" t="str">
        <x:f>IF(Q16="上市","TW",IF(Q16="上櫃","TWO",""))</x:f>
        <x:v>TW</x:v>
      </x:c>
      <x:c r="S16" s="28" t="str">
        <x:f>IF(OR(O16="",R16=""),"",O16&amp;"."&amp;R16)</x:f>
        <x:v>3189.TW</x:v>
      </x:c>
      <x:c r="T16" s="26" t="str">
        <x:v>是</x:v>
      </x:c>
      <x:c r="U16" s="29" t="str"/>
    </x:row>
    <x:row r="17">
      <x:c r="A17" s="40" t="n">
        <x:v>16</x:v>
      </x:c>
      <x:c r="B17" s="40" t="n">
        <x:v>2</x:v>
      </x:c>
      <x:c r="C17" s="40" t="str">
        <x:v>PCB／CCL／ABF載板</x:v>
      </x:c>
      <x:c r="D17" s="40" t="str">
        <x:v>固定核心</x:v>
      </x:c>
      <x:c r="E17" s="40" t="str">
        <x:v>6274</x:v>
      </x:c>
      <x:c r="F17" s="40" t="str">
        <x:v>台燿</x:v>
      </x:c>
      <x:c r="G17" s="40" t="str">
        <x:v>上櫃</x:v>
      </x:c>
      <x:c r="H17" s="40" t="str">
        <x:v>TWO</x:v>
      </x:c>
      <x:c r="I17" s="40" t="str">
        <x:v>6274.TWO</x:v>
      </x:c>
      <x:c r="J17" s="40" t="str">
        <x:v>CCL／高速材料</x:v>
      </x:c>
      <x:c r="K17" s="40" t="str">
        <x:v>https://www.tpex.org.tw/</x:v>
      </x:c>
      <x:c r="L17" s="27" t="str"/>
      <x:c r="M17" s="27" t="str"/>
      <x:c r="N17" s="27" t="str"/>
      <x:c r="O17" s="28" t="str">
        <x:f>IF(L17&lt;&gt;"",L17,E17)</x:f>
        <x:v>6274</x:v>
      </x:c>
      <x:c r="P17" s="28" t="str">
        <x:f>IF(M17&lt;&gt;"",M17,F17)</x:f>
        <x:v>台燿</x:v>
      </x:c>
      <x:c r="Q17" s="28" t="str">
        <x:f>IF(N17&lt;&gt;"",N17,G17)</x:f>
        <x:v>上櫃</x:v>
      </x:c>
      <x:c r="R17" s="28" t="str">
        <x:f>IF(Q17="上市","TW",IF(Q17="上櫃","TWO",""))</x:f>
        <x:v>TWO</x:v>
      </x:c>
      <x:c r="S17" s="28" t="str">
        <x:f>IF(OR(O17="",R17=""),"",O17&amp;"."&amp;R17)</x:f>
        <x:v>6274.TWO</x:v>
      </x:c>
      <x:c r="T17" s="26" t="str">
        <x:v>是</x:v>
      </x:c>
      <x:c r="U17" s="29" t="str"/>
    </x:row>
    <x:row r="18">
      <x:c r="A18" s="40" t="n">
        <x:v>17</x:v>
      </x:c>
      <x:c r="B18" s="40" t="n">
        <x:v>2</x:v>
      </x:c>
      <x:c r="C18" s="40" t="str">
        <x:v>PCB／CCL／ABF載板</x:v>
      </x:c>
      <x:c r="D18" s="40" t="str">
        <x:v>固定核心</x:v>
      </x:c>
      <x:c r="E18" s="40" t="str">
        <x:v>6213</x:v>
      </x:c>
      <x:c r="F18" s="40" t="str">
        <x:v>聯茂</x:v>
      </x:c>
      <x:c r="G18" s="40" t="str">
        <x:v>上市</x:v>
      </x:c>
      <x:c r="H18" s="40" t="str">
        <x:v>TW</x:v>
      </x:c>
      <x:c r="I18" s="40" t="str">
        <x:v>6213.TW</x:v>
      </x:c>
      <x:c r="J18" s="40" t="str">
        <x:v>CCL</x:v>
      </x:c>
      <x:c r="K18" s="40" t="str">
        <x:v>https://www.twse.com.tw/</x:v>
      </x:c>
      <x:c r="L18" s="27" t="str"/>
      <x:c r="M18" s="27" t="str"/>
      <x:c r="N18" s="27" t="str"/>
      <x:c r="O18" s="28" t="str">
        <x:f>IF(L18&lt;&gt;"",L18,E18)</x:f>
        <x:v>6213</x:v>
      </x:c>
      <x:c r="P18" s="28" t="str">
        <x:f>IF(M18&lt;&gt;"",M18,F18)</x:f>
        <x:v>聯茂</x:v>
      </x:c>
      <x:c r="Q18" s="28" t="str">
        <x:f>IF(N18&lt;&gt;"",N18,G18)</x:f>
        <x:v>上市</x:v>
      </x:c>
      <x:c r="R18" s="28" t="str">
        <x:f>IF(Q18="上市","TW",IF(Q18="上櫃","TWO",""))</x:f>
        <x:v>TW</x:v>
      </x:c>
      <x:c r="S18" s="28" t="str">
        <x:f>IF(OR(O18="",R18=""),"",O18&amp;"."&amp;R18)</x:f>
        <x:v>6213.TW</x:v>
      </x:c>
      <x:c r="T18" s="26" t="str">
        <x:v>是</x:v>
      </x:c>
      <x:c r="U18" s="29" t="str"/>
    </x:row>
    <x:row r="19">
      <x:c r="A19" s="40" t="n">
        <x:v>18</x:v>
      </x:c>
      <x:c r="B19" s="40" t="n">
        <x:v>2</x:v>
      </x:c>
      <x:c r="C19" s="40" t="str">
        <x:v>PCB／CCL／ABF載板</x:v>
      </x:c>
      <x:c r="D19" s="40" t="str">
        <x:v>固定核心</x:v>
      </x:c>
      <x:c r="E19" s="40" t="str">
        <x:v>2313</x:v>
      </x:c>
      <x:c r="F19" s="40" t="str">
        <x:v>華通</x:v>
      </x:c>
      <x:c r="G19" s="40" t="str">
        <x:v>上市</x:v>
      </x:c>
      <x:c r="H19" s="40" t="str">
        <x:v>TW</x:v>
      </x:c>
      <x:c r="I19" s="40" t="str">
        <x:v>2313.TW</x:v>
      </x:c>
      <x:c r="J19" s="40" t="str">
        <x:v>PCB</x:v>
      </x:c>
      <x:c r="K19" s="40" t="str">
        <x:v>https://www.twse.com.tw/</x:v>
      </x:c>
      <x:c r="L19" s="27" t="str"/>
      <x:c r="M19" s="27" t="str"/>
      <x:c r="N19" s="27" t="str"/>
      <x:c r="O19" s="28" t="str">
        <x:f>IF(L19&lt;&gt;"",L19,E19)</x:f>
        <x:v>2313</x:v>
      </x:c>
      <x:c r="P19" s="28" t="str">
        <x:f>IF(M19&lt;&gt;"",M19,F19)</x:f>
        <x:v>華通</x:v>
      </x:c>
      <x:c r="Q19" s="28" t="str">
        <x:f>IF(N19&lt;&gt;"",N19,G19)</x:f>
        <x:v>上市</x:v>
      </x:c>
      <x:c r="R19" s="28" t="str">
        <x:f>IF(Q19="上市","TW",IF(Q19="上櫃","TWO",""))</x:f>
        <x:v>TW</x:v>
      </x:c>
      <x:c r="S19" s="28" t="str">
        <x:f>IF(OR(O19="",R19=""),"",O19&amp;"."&amp;R19)</x:f>
        <x:v>2313.TW</x:v>
      </x:c>
      <x:c r="T19" s="26" t="str">
        <x:v>是</x:v>
      </x:c>
      <x:c r="U19" s="29" t="str"/>
    </x:row>
    <x:row r="20">
      <x:c r="A20" s="40" t="n">
        <x:v>19</x:v>
      </x:c>
      <x:c r="B20" s="40" t="n">
        <x:v>2</x:v>
      </x:c>
      <x:c r="C20" s="40" t="str">
        <x:v>PCB／CCL／ABF載板</x:v>
      </x:c>
      <x:c r="D20" s="40" t="str">
        <x:v>固定核心</x:v>
      </x:c>
      <x:c r="E20" s="40" t="str">
        <x:v>4958</x:v>
      </x:c>
      <x:c r="F20" s="40" t="str">
        <x:v>臻鼎-KY</x:v>
      </x:c>
      <x:c r="G20" s="40" t="str">
        <x:v>上市</x:v>
      </x:c>
      <x:c r="H20" s="40" t="str">
        <x:v>TW</x:v>
      </x:c>
      <x:c r="I20" s="40" t="str">
        <x:v>4958.TW</x:v>
      </x:c>
      <x:c r="J20" s="40" t="str">
        <x:v>PCB</x:v>
      </x:c>
      <x:c r="K20" s="40" t="str">
        <x:v>https://www.twse.com.tw/</x:v>
      </x:c>
      <x:c r="L20" s="27" t="str"/>
      <x:c r="M20" s="27" t="str"/>
      <x:c r="N20" s="27" t="str"/>
      <x:c r="O20" s="28" t="str">
        <x:f>IF(L20&lt;&gt;"",L20,E20)</x:f>
        <x:v>4958</x:v>
      </x:c>
      <x:c r="P20" s="28" t="str">
        <x:f>IF(M20&lt;&gt;"",M20,F20)</x:f>
        <x:v>臻鼎-KY</x:v>
      </x:c>
      <x:c r="Q20" s="28" t="str">
        <x:f>IF(N20&lt;&gt;"",N20,G20)</x:f>
        <x:v>上市</x:v>
      </x:c>
      <x:c r="R20" s="28" t="str">
        <x:f>IF(Q20="上市","TW",IF(Q20="上櫃","TWO",""))</x:f>
        <x:v>TW</x:v>
      </x:c>
      <x:c r="S20" s="28" t="str">
        <x:f>IF(OR(O20="",R20=""),"",O20&amp;"."&amp;R20)</x:f>
        <x:v>4958.TW</x:v>
      </x:c>
      <x:c r="T20" s="26" t="str">
        <x:v>是</x:v>
      </x:c>
      <x:c r="U20" s="29" t="str"/>
    </x:row>
    <x:row r="21">
      <x:c r="A21" s="40" t="n">
        <x:v>20</x:v>
      </x:c>
      <x:c r="B21" s="40" t="n">
        <x:v>2</x:v>
      </x:c>
      <x:c r="C21" s="40" t="str">
        <x:v>PCB／CCL／ABF載板</x:v>
      </x:c>
      <x:c r="D21" s="40" t="str">
        <x:v>固定核心</x:v>
      </x:c>
      <x:c r="E21" s="40" t="str">
        <x:v>1815</x:v>
      </x:c>
      <x:c r="F21" s="40" t="str">
        <x:v>富喬</x:v>
      </x:c>
      <x:c r="G21" s="40" t="str">
        <x:v>上櫃</x:v>
      </x:c>
      <x:c r="H21" s="40" t="str">
        <x:v>TWO</x:v>
      </x:c>
      <x:c r="I21" s="40" t="str">
        <x:v>1815.TWO</x:v>
      </x:c>
      <x:c r="J21" s="40" t="str">
        <x:v>玻纖布／PCB材料</x:v>
      </x:c>
      <x:c r="K21" s="40" t="str">
        <x:v>https://www.tpex.org.tw/</x:v>
      </x:c>
      <x:c r="L21" s="27" t="str"/>
      <x:c r="M21" s="27" t="str"/>
      <x:c r="N21" s="27" t="str"/>
      <x:c r="O21" s="28" t="str">
        <x:f>IF(L21&lt;&gt;"",L21,E21)</x:f>
        <x:v>1815</x:v>
      </x:c>
      <x:c r="P21" s="28" t="str">
        <x:f>IF(M21&lt;&gt;"",M21,F21)</x:f>
        <x:v>富喬</x:v>
      </x:c>
      <x:c r="Q21" s="28" t="str">
        <x:f>IF(N21&lt;&gt;"",N21,G21)</x:f>
        <x:v>上櫃</x:v>
      </x:c>
      <x:c r="R21" s="28" t="str">
        <x:f>IF(Q21="上市","TW",IF(Q21="上櫃","TWO",""))</x:f>
        <x:v>TWO</x:v>
      </x:c>
      <x:c r="S21" s="28" t="str">
        <x:f>IF(OR(O21="",R21=""),"",O21&amp;"."&amp;R21)</x:f>
        <x:v>1815.TWO</x:v>
      </x:c>
      <x:c r="T21" s="26" t="str">
        <x:v>是</x:v>
      </x:c>
      <x:c r="U21" s="29" t="str"/>
    </x:row>
    <x:row r="22">
      <x:c r="A22" s="42" t="n">
        <x:v>21</x:v>
      </x:c>
      <x:c r="B22" s="42" t="n">
        <x:v>3</x:v>
      </x:c>
      <x:c r="C22" s="42" t="str">
        <x:v>CPO／光通訊／高速網路</x:v>
      </x:c>
      <x:c r="D22" s="42" t="str">
        <x:v>固定核心</x:v>
      </x:c>
      <x:c r="E22" s="42" t="str">
        <x:v>2345</x:v>
      </x:c>
      <x:c r="F22" s="42" t="str">
        <x:v>智邦</x:v>
      </x:c>
      <x:c r="G22" s="42" t="str">
        <x:v>上市</x:v>
      </x:c>
      <x:c r="H22" s="42" t="str">
        <x:v>TW</x:v>
      </x:c>
      <x:c r="I22" s="42" t="str">
        <x:v>2345.TW</x:v>
      </x:c>
      <x:c r="J22" s="42" t="str">
        <x:v>高速交換器／網通</x:v>
      </x:c>
      <x:c r="K22" s="42" t="str">
        <x:v>https://www.twse.com.tw/</x:v>
      </x:c>
      <x:c r="L22" s="27" t="str"/>
      <x:c r="M22" s="27" t="str"/>
      <x:c r="N22" s="27" t="str"/>
      <x:c r="O22" s="28" t="str">
        <x:f>IF(L22&lt;&gt;"",L22,E22)</x:f>
        <x:v>2345</x:v>
      </x:c>
      <x:c r="P22" s="28" t="str">
        <x:f>IF(M22&lt;&gt;"",M22,F22)</x:f>
        <x:v>智邦</x:v>
      </x:c>
      <x:c r="Q22" s="28" t="str">
        <x:f>IF(N22&lt;&gt;"",N22,G22)</x:f>
        <x:v>上市</x:v>
      </x:c>
      <x:c r="R22" s="28" t="str">
        <x:f>IF(Q22="上市","TW",IF(Q22="上櫃","TWO",""))</x:f>
        <x:v>TW</x:v>
      </x:c>
      <x:c r="S22" s="28" t="str">
        <x:f>IF(OR(O22="",R22=""),"",O22&amp;"."&amp;R22)</x:f>
        <x:v>2345.TW</x:v>
      </x:c>
      <x:c r="T22" s="26" t="str">
        <x:v>是</x:v>
      </x:c>
      <x:c r="U22" s="29" t="str"/>
    </x:row>
    <x:row r="23">
      <x:c r="A23" s="42" t="n">
        <x:v>22</x:v>
      </x:c>
      <x:c r="B23" s="42" t="n">
        <x:v>3</x:v>
      </x:c>
      <x:c r="C23" s="42" t="str">
        <x:v>CPO／光通訊／高速網路</x:v>
      </x:c>
      <x:c r="D23" s="42" t="str">
        <x:v>固定核心</x:v>
      </x:c>
      <x:c r="E23" s="42" t="str">
        <x:v>6442</x:v>
      </x:c>
      <x:c r="F23" s="42" t="str">
        <x:v>光聖</x:v>
      </x:c>
      <x:c r="G23" s="42" t="str">
        <x:v>上市</x:v>
      </x:c>
      <x:c r="H23" s="42" t="str">
        <x:v>TW</x:v>
      </x:c>
      <x:c r="I23" s="42" t="str">
        <x:v>6442.TW</x:v>
      </x:c>
      <x:c r="J23" s="42" t="str">
        <x:v>光通訊</x:v>
      </x:c>
      <x:c r="K23" s="42" t="str">
        <x:v>https://www.twse.com.tw/</x:v>
      </x:c>
      <x:c r="L23" s="27" t="str"/>
      <x:c r="M23" s="27" t="str"/>
      <x:c r="N23" s="27" t="str"/>
      <x:c r="O23" s="28" t="str">
        <x:f>IF(L23&lt;&gt;"",L23,E23)</x:f>
        <x:v>6442</x:v>
      </x:c>
      <x:c r="P23" s="28" t="str">
        <x:f>IF(M23&lt;&gt;"",M23,F23)</x:f>
        <x:v>光聖</x:v>
      </x:c>
      <x:c r="Q23" s="28" t="str">
        <x:f>IF(N23&lt;&gt;"",N23,G23)</x:f>
        <x:v>上市</x:v>
      </x:c>
      <x:c r="R23" s="28" t="str">
        <x:f>IF(Q23="上市","TW",IF(Q23="上櫃","TWO",""))</x:f>
        <x:v>TW</x:v>
      </x:c>
      <x:c r="S23" s="28" t="str">
        <x:f>IF(OR(O23="",R23=""),"",O23&amp;"."&amp;R23)</x:f>
        <x:v>6442.TW</x:v>
      </x:c>
      <x:c r="T23" s="26" t="str">
        <x:v>是</x:v>
      </x:c>
      <x:c r="U23" s="29" t="str"/>
    </x:row>
    <x:row r="24">
      <x:c r="A24" s="42" t="n">
        <x:v>23</x:v>
      </x:c>
      <x:c r="B24" s="42" t="n">
        <x:v>3</x:v>
      </x:c>
      <x:c r="C24" s="42" t="str">
        <x:v>CPO／光通訊／高速網路</x:v>
      </x:c>
      <x:c r="D24" s="42" t="str">
        <x:v>固定核心</x:v>
      </x:c>
      <x:c r="E24" s="42" t="str">
        <x:v>3081</x:v>
      </x:c>
      <x:c r="F24" s="42" t="str">
        <x:v>聯亞</x:v>
      </x:c>
      <x:c r="G24" s="42" t="str">
        <x:v>上櫃</x:v>
      </x:c>
      <x:c r="H24" s="42" t="str">
        <x:v>TWO</x:v>
      </x:c>
      <x:c r="I24" s="42" t="str">
        <x:v>3081.TWO</x:v>
      </x:c>
      <x:c r="J24" s="42" t="str">
        <x:v>光通訊／磊晶</x:v>
      </x:c>
      <x:c r="K24" s="42" t="str">
        <x:v>https://www.tpex.org.tw/</x:v>
      </x:c>
      <x:c r="L24" s="27" t="str"/>
      <x:c r="M24" s="27" t="str"/>
      <x:c r="N24" s="27" t="str"/>
      <x:c r="O24" s="28" t="str">
        <x:f>IF(L24&lt;&gt;"",L24,E24)</x:f>
        <x:v>3081</x:v>
      </x:c>
      <x:c r="P24" s="28" t="str">
        <x:f>IF(M24&lt;&gt;"",M24,F24)</x:f>
        <x:v>聯亞</x:v>
      </x:c>
      <x:c r="Q24" s="28" t="str">
        <x:f>IF(N24&lt;&gt;"",N24,G24)</x:f>
        <x:v>上櫃</x:v>
      </x:c>
      <x:c r="R24" s="28" t="str">
        <x:f>IF(Q24="上市","TW",IF(Q24="上櫃","TWO",""))</x:f>
        <x:v>TWO</x:v>
      </x:c>
      <x:c r="S24" s="28" t="str">
        <x:f>IF(OR(O24="",R24=""),"",O24&amp;"."&amp;R24)</x:f>
        <x:v>3081.TWO</x:v>
      </x:c>
      <x:c r="T24" s="26" t="str">
        <x:v>是</x:v>
      </x:c>
      <x:c r="U24" s="29" t="str"/>
    </x:row>
    <x:row r="25">
      <x:c r="A25" s="42" t="n">
        <x:v>24</x:v>
      </x:c>
      <x:c r="B25" s="42" t="n">
        <x:v>3</x:v>
      </x:c>
      <x:c r="C25" s="42" t="str">
        <x:v>CPO／光通訊／高速網路</x:v>
      </x:c>
      <x:c r="D25" s="42" t="str">
        <x:v>固定核心</x:v>
      </x:c>
      <x:c r="E25" s="42" t="str">
        <x:v>4979</x:v>
      </x:c>
      <x:c r="F25" s="42" t="str">
        <x:v>華星光</x:v>
      </x:c>
      <x:c r="G25" s="42" t="str">
        <x:v>上櫃</x:v>
      </x:c>
      <x:c r="H25" s="42" t="str">
        <x:v>TWO</x:v>
      </x:c>
      <x:c r="I25" s="42" t="str">
        <x:v>4979.TWO</x:v>
      </x:c>
      <x:c r="J25" s="42" t="str">
        <x:v>光通訊</x:v>
      </x:c>
      <x:c r="K25" s="42" t="str">
        <x:v>https://www.tpex.org.tw/</x:v>
      </x:c>
      <x:c r="L25" s="27" t="str"/>
      <x:c r="M25" s="27" t="str"/>
      <x:c r="N25" s="27" t="str"/>
      <x:c r="O25" s="28" t="str">
        <x:f>IF(L25&lt;&gt;"",L25,E25)</x:f>
        <x:v>4979</x:v>
      </x:c>
      <x:c r="P25" s="28" t="str">
        <x:f>IF(M25&lt;&gt;"",M25,F25)</x:f>
        <x:v>華星光</x:v>
      </x:c>
      <x:c r="Q25" s="28" t="str">
        <x:f>IF(N25&lt;&gt;"",N25,G25)</x:f>
        <x:v>上櫃</x:v>
      </x:c>
      <x:c r="R25" s="28" t="str">
        <x:f>IF(Q25="上市","TW",IF(Q25="上櫃","TWO",""))</x:f>
        <x:v>TWO</x:v>
      </x:c>
      <x:c r="S25" s="28" t="str">
        <x:f>IF(OR(O25="",R25=""),"",O25&amp;"."&amp;R25)</x:f>
        <x:v>4979.TWO</x:v>
      </x:c>
      <x:c r="T25" s="26" t="str">
        <x:v>是</x:v>
      </x:c>
      <x:c r="U25" s="29" t="str"/>
    </x:row>
    <x:row r="26">
      <x:c r="A26" s="42" t="n">
        <x:v>25</x:v>
      </x:c>
      <x:c r="B26" s="42" t="n">
        <x:v>3</x:v>
      </x:c>
      <x:c r="C26" s="42" t="str">
        <x:v>CPO／光通訊／高速網路</x:v>
      </x:c>
      <x:c r="D26" s="42" t="str">
        <x:v>固定核心</x:v>
      </x:c>
      <x:c r="E26" s="42" t="str">
        <x:v>3163</x:v>
      </x:c>
      <x:c r="F26" s="42" t="str">
        <x:v>波若威</x:v>
      </x:c>
      <x:c r="G26" s="42" t="str">
        <x:v>上櫃</x:v>
      </x:c>
      <x:c r="H26" s="42" t="str">
        <x:v>TWO</x:v>
      </x:c>
      <x:c r="I26" s="42" t="str">
        <x:v>3163.TWO</x:v>
      </x:c>
      <x:c r="J26" s="42" t="str">
        <x:v>光通訊</x:v>
      </x:c>
      <x:c r="K26" s="42" t="str">
        <x:v>https://www.tpex.org.tw/</x:v>
      </x:c>
      <x:c r="L26" s="27" t="str"/>
      <x:c r="M26" s="27" t="str"/>
      <x:c r="N26" s="27" t="str"/>
      <x:c r="O26" s="28" t="str">
        <x:f>IF(L26&lt;&gt;"",L26,E26)</x:f>
        <x:v>3163</x:v>
      </x:c>
      <x:c r="P26" s="28" t="str">
        <x:f>IF(M26&lt;&gt;"",M26,F26)</x:f>
        <x:v>波若威</x:v>
      </x:c>
      <x:c r="Q26" s="28" t="str">
        <x:f>IF(N26&lt;&gt;"",N26,G26)</x:f>
        <x:v>上櫃</x:v>
      </x:c>
      <x:c r="R26" s="28" t="str">
        <x:f>IF(Q26="上市","TW",IF(Q26="上櫃","TWO",""))</x:f>
        <x:v>TWO</x:v>
      </x:c>
      <x:c r="S26" s="28" t="str">
        <x:f>IF(OR(O26="",R26=""),"",O26&amp;"."&amp;R26)</x:f>
        <x:v>3163.TWO</x:v>
      </x:c>
      <x:c r="T26" s="26" t="str">
        <x:v>是</x:v>
      </x:c>
      <x:c r="U26" s="29" t="str"/>
    </x:row>
    <x:row r="27">
      <x:c r="A27" s="42" t="n">
        <x:v>26</x:v>
      </x:c>
      <x:c r="B27" s="42" t="n">
        <x:v>3</x:v>
      </x:c>
      <x:c r="C27" s="42" t="str">
        <x:v>CPO／光通訊／高速網路</x:v>
      </x:c>
      <x:c r="D27" s="42" t="str">
        <x:v>固定核心</x:v>
      </x:c>
      <x:c r="E27" s="42" t="str">
        <x:v>3363</x:v>
      </x:c>
      <x:c r="F27" s="42" t="str">
        <x:v>上詮</x:v>
      </x:c>
      <x:c r="G27" s="42" t="str">
        <x:v>上櫃</x:v>
      </x:c>
      <x:c r="H27" s="42" t="str">
        <x:v>TWO</x:v>
      </x:c>
      <x:c r="I27" s="42" t="str">
        <x:v>3363.TWO</x:v>
      </x:c>
      <x:c r="J27" s="42" t="str">
        <x:v>CPO／光纖連接</x:v>
      </x:c>
      <x:c r="K27" s="42" t="str">
        <x:v>https://www.tpex.org.tw/</x:v>
      </x:c>
      <x:c r="L27" s="27" t="str"/>
      <x:c r="M27" s="27" t="str"/>
      <x:c r="N27" s="27" t="str"/>
      <x:c r="O27" s="28" t="str">
        <x:f>IF(L27&lt;&gt;"",L27,E27)</x:f>
        <x:v>3363</x:v>
      </x:c>
      <x:c r="P27" s="28" t="str">
        <x:f>IF(M27&lt;&gt;"",M27,F27)</x:f>
        <x:v>上詮</x:v>
      </x:c>
      <x:c r="Q27" s="28" t="str">
        <x:f>IF(N27&lt;&gt;"",N27,G27)</x:f>
        <x:v>上櫃</x:v>
      </x:c>
      <x:c r="R27" s="28" t="str">
        <x:f>IF(Q27="上市","TW",IF(Q27="上櫃","TWO",""))</x:f>
        <x:v>TWO</x:v>
      </x:c>
      <x:c r="S27" s="28" t="str">
        <x:f>IF(OR(O27="",R27=""),"",O27&amp;"."&amp;R27)</x:f>
        <x:v>3363.TWO</x:v>
      </x:c>
      <x:c r="T27" s="26" t="str">
        <x:v>是</x:v>
      </x:c>
      <x:c r="U27" s="29" t="str"/>
    </x:row>
    <x:row r="28">
      <x:c r="A28" s="42" t="n">
        <x:v>27</x:v>
      </x:c>
      <x:c r="B28" s="42" t="n">
        <x:v>3</x:v>
      </x:c>
      <x:c r="C28" s="42" t="str">
        <x:v>CPO／光通訊／高速網路</x:v>
      </x:c>
      <x:c r="D28" s="42" t="str">
        <x:v>固定核心</x:v>
      </x:c>
      <x:c r="E28" s="42" t="str">
        <x:v>3450</x:v>
      </x:c>
      <x:c r="F28" s="42" t="str">
        <x:v>聯鈞</x:v>
      </x:c>
      <x:c r="G28" s="42" t="str">
        <x:v>上市</x:v>
      </x:c>
      <x:c r="H28" s="42" t="str">
        <x:v>TW</x:v>
      </x:c>
      <x:c r="I28" s="42" t="str">
        <x:v>3450.TW</x:v>
      </x:c>
      <x:c r="J28" s="42" t="str">
        <x:v>光通訊</x:v>
      </x:c>
      <x:c r="K28" s="42" t="str">
        <x:v>https://www.twse.com.tw/</x:v>
      </x:c>
      <x:c r="L28" s="27" t="str"/>
      <x:c r="M28" s="27" t="str"/>
      <x:c r="N28" s="27" t="str"/>
      <x:c r="O28" s="28" t="str">
        <x:f>IF(L28&lt;&gt;"",L28,E28)</x:f>
        <x:v>3450</x:v>
      </x:c>
      <x:c r="P28" s="28" t="str">
        <x:f>IF(M28&lt;&gt;"",M28,F28)</x:f>
        <x:v>聯鈞</x:v>
      </x:c>
      <x:c r="Q28" s="28" t="str">
        <x:f>IF(N28&lt;&gt;"",N28,G28)</x:f>
        <x:v>上市</x:v>
      </x:c>
      <x:c r="R28" s="28" t="str">
        <x:f>IF(Q28="上市","TW",IF(Q28="上櫃","TWO",""))</x:f>
        <x:v>TW</x:v>
      </x:c>
      <x:c r="S28" s="28" t="str">
        <x:f>IF(OR(O28="",R28=""),"",O28&amp;"."&amp;R28)</x:f>
        <x:v>3450.TW</x:v>
      </x:c>
      <x:c r="T28" s="26" t="str">
        <x:v>是</x:v>
      </x:c>
      <x:c r="U28" s="29" t="str"/>
    </x:row>
    <x:row r="29">
      <x:c r="A29" s="42" t="n">
        <x:v>28</x:v>
      </x:c>
      <x:c r="B29" s="42" t="n">
        <x:v>3</x:v>
      </x:c>
      <x:c r="C29" s="42" t="str">
        <x:v>CPO／光通訊／高速網路</x:v>
      </x:c>
      <x:c r="D29" s="42" t="str">
        <x:v>固定核心</x:v>
      </x:c>
      <x:c r="E29" s="42" t="str">
        <x:v>2455</x:v>
      </x:c>
      <x:c r="F29" s="42" t="str">
        <x:v>全新</x:v>
      </x:c>
      <x:c r="G29" s="42" t="str">
        <x:v>上市</x:v>
      </x:c>
      <x:c r="H29" s="42" t="str">
        <x:v>TW</x:v>
      </x:c>
      <x:c r="I29" s="42" t="str">
        <x:v>2455.TW</x:v>
      </x:c>
      <x:c r="J29" s="42" t="str">
        <x:v>光通訊／PA</x:v>
      </x:c>
      <x:c r="K29" s="42" t="str">
        <x:v>https://www.twse.com.tw/</x:v>
      </x:c>
      <x:c r="L29" s="27" t="str"/>
      <x:c r="M29" s="27" t="str"/>
      <x:c r="N29" s="27" t="str"/>
      <x:c r="O29" s="28" t="str">
        <x:f>IF(L29&lt;&gt;"",L29,E29)</x:f>
        <x:v>2455</x:v>
      </x:c>
      <x:c r="P29" s="28" t="str">
        <x:f>IF(M29&lt;&gt;"",M29,F29)</x:f>
        <x:v>全新</x:v>
      </x:c>
      <x:c r="Q29" s="28" t="str">
        <x:f>IF(N29&lt;&gt;"",N29,G29)</x:f>
        <x:v>上市</x:v>
      </x:c>
      <x:c r="R29" s="28" t="str">
        <x:f>IF(Q29="上市","TW",IF(Q29="上櫃","TWO",""))</x:f>
        <x:v>TW</x:v>
      </x:c>
      <x:c r="S29" s="28" t="str">
        <x:f>IF(OR(O29="",R29=""),"",O29&amp;"."&amp;R29)</x:f>
        <x:v>2455.TW</x:v>
      </x:c>
      <x:c r="T29" s="26" t="str">
        <x:v>是</x:v>
      </x:c>
      <x:c r="U29" s="29" t="str"/>
    </x:row>
    <x:row r="30">
      <x:c r="A30" s="42" t="n">
        <x:v>29</x:v>
      </x:c>
      <x:c r="B30" s="42" t="n">
        <x:v>3</x:v>
      </x:c>
      <x:c r="C30" s="42" t="str">
        <x:v>CPO／光通訊／高速網路</x:v>
      </x:c>
      <x:c r="D30" s="42" t="str">
        <x:v>固定核心</x:v>
      </x:c>
      <x:c r="E30" s="42" t="str">
        <x:v>4971</x:v>
      </x:c>
      <x:c r="F30" s="42" t="str">
        <x:v>IET-KY</x:v>
      </x:c>
      <x:c r="G30" s="42" t="str">
        <x:v>上櫃</x:v>
      </x:c>
      <x:c r="H30" s="42" t="str">
        <x:v>TWO</x:v>
      </x:c>
      <x:c r="I30" s="42" t="str">
        <x:v>4971.TWO</x:v>
      </x:c>
      <x:c r="J30" s="42" t="str">
        <x:v>III-V材料／光通訊</x:v>
      </x:c>
      <x:c r="K30" s="42" t="str">
        <x:v>https://www.tpex.org.tw/</x:v>
      </x:c>
      <x:c r="L30" s="27" t="str"/>
      <x:c r="M30" s="27" t="str"/>
      <x:c r="N30" s="27" t="str"/>
      <x:c r="O30" s="28" t="str">
        <x:f>IF(L30&lt;&gt;"",L30,E30)</x:f>
        <x:v>4971</x:v>
      </x:c>
      <x:c r="P30" s="28" t="str">
        <x:f>IF(M30&lt;&gt;"",M30,F30)</x:f>
        <x:v>IET-KY</x:v>
      </x:c>
      <x:c r="Q30" s="28" t="str">
        <x:f>IF(N30&lt;&gt;"",N30,G30)</x:f>
        <x:v>上櫃</x:v>
      </x:c>
      <x:c r="R30" s="28" t="str">
        <x:f>IF(Q30="上市","TW",IF(Q30="上櫃","TWO",""))</x:f>
        <x:v>TWO</x:v>
      </x:c>
      <x:c r="S30" s="28" t="str">
        <x:f>IF(OR(O30="",R30=""),"",O30&amp;"."&amp;R30)</x:f>
        <x:v>4971.TWO</x:v>
      </x:c>
      <x:c r="T30" s="26" t="str">
        <x:v>是</x:v>
      </x:c>
      <x:c r="U30" s="29" t="str"/>
    </x:row>
    <x:row r="31">
      <x:c r="A31" s="42" t="n">
        <x:v>30</x:v>
      </x:c>
      <x:c r="B31" s="42" t="n">
        <x:v>3</x:v>
      </x:c>
      <x:c r="C31" s="42" t="str">
        <x:v>CPO／光通訊／高速網路</x:v>
      </x:c>
      <x:c r="D31" s="42" t="str">
        <x:v>固定核心</x:v>
      </x:c>
      <x:c r="E31" s="42" t="str">
        <x:v>4991</x:v>
      </x:c>
      <x:c r="F31" s="42" t="str">
        <x:v>環宇-KY</x:v>
      </x:c>
      <x:c r="G31" s="42" t="str">
        <x:v>上櫃</x:v>
      </x:c>
      <x:c r="H31" s="42" t="str">
        <x:v>TWO</x:v>
      </x:c>
      <x:c r="I31" s="42" t="str">
        <x:v>4991.TWO</x:v>
      </x:c>
      <x:c r="J31" s="42" t="str">
        <x:v>光通訊／化合物半導體</x:v>
      </x:c>
      <x:c r="K31" s="42" t="str">
        <x:v>https://www.tpex.org.tw/</x:v>
      </x:c>
      <x:c r="L31" s="27" t="str"/>
      <x:c r="M31" s="27" t="str"/>
      <x:c r="N31" s="27" t="str"/>
      <x:c r="O31" s="28" t="str">
        <x:f>IF(L31&lt;&gt;"",L31,E31)</x:f>
        <x:v>4991</x:v>
      </x:c>
      <x:c r="P31" s="28" t="str">
        <x:f>IF(M31&lt;&gt;"",M31,F31)</x:f>
        <x:v>環宇-KY</x:v>
      </x:c>
      <x:c r="Q31" s="28" t="str">
        <x:f>IF(N31&lt;&gt;"",N31,G31)</x:f>
        <x:v>上櫃</x:v>
      </x:c>
      <x:c r="R31" s="28" t="str">
        <x:f>IF(Q31="上市","TW",IF(Q31="上櫃","TWO",""))</x:f>
        <x:v>TWO</x:v>
      </x:c>
      <x:c r="S31" s="28" t="str">
        <x:f>IF(OR(O31="",R31=""),"",O31&amp;"."&amp;R31)</x:f>
        <x:v>4991.TWO</x:v>
      </x:c>
      <x:c r="T31" s="26" t="str">
        <x:v>是</x:v>
      </x:c>
      <x:c r="U31" s="29" t="str"/>
    </x:row>
    <x:row r="32">
      <x:c r="A32" s="44" t="n">
        <x:v>31</x:v>
      </x:c>
      <x:c r="B32" s="44" t="n">
        <x:v>4</x:v>
      </x:c>
      <x:c r="C32" s="44" t="str">
        <x:v>散熱／液冷／電源</x:v>
      </x:c>
      <x:c r="D32" s="44" t="str">
        <x:v>固定核心</x:v>
      </x:c>
      <x:c r="E32" s="44" t="str">
        <x:v>3017</x:v>
      </x:c>
      <x:c r="F32" s="44" t="str">
        <x:v>奇鋐</x:v>
      </x:c>
      <x:c r="G32" s="44" t="str">
        <x:v>上市</x:v>
      </x:c>
      <x:c r="H32" s="44" t="str">
        <x:v>TW</x:v>
      </x:c>
      <x:c r="I32" s="44" t="str">
        <x:v>3017.TW</x:v>
      </x:c>
      <x:c r="J32" s="44" t="str">
        <x:v>AI散熱／液冷</x:v>
      </x:c>
      <x:c r="K32" s="44" t="str">
        <x:v>https://www.twse.com.tw/</x:v>
      </x:c>
      <x:c r="L32" s="27" t="str"/>
      <x:c r="M32" s="27" t="str"/>
      <x:c r="N32" s="27" t="str"/>
      <x:c r="O32" s="28" t="str">
        <x:f>IF(L32&lt;&gt;"",L32,E32)</x:f>
        <x:v>3017</x:v>
      </x:c>
      <x:c r="P32" s="28" t="str">
        <x:f>IF(M32&lt;&gt;"",M32,F32)</x:f>
        <x:v>奇鋐</x:v>
      </x:c>
      <x:c r="Q32" s="28" t="str">
        <x:f>IF(N32&lt;&gt;"",N32,G32)</x:f>
        <x:v>上市</x:v>
      </x:c>
      <x:c r="R32" s="28" t="str">
        <x:f>IF(Q32="上市","TW",IF(Q32="上櫃","TWO",""))</x:f>
        <x:v>TW</x:v>
      </x:c>
      <x:c r="S32" s="28" t="str">
        <x:f>IF(OR(O32="",R32=""),"",O32&amp;"."&amp;R32)</x:f>
        <x:v>3017.TW</x:v>
      </x:c>
      <x:c r="T32" s="26" t="str">
        <x:v>是</x:v>
      </x:c>
      <x:c r="U32" s="29" t="str"/>
    </x:row>
    <x:row r="33">
      <x:c r="A33" s="44" t="n">
        <x:v>32</x:v>
      </x:c>
      <x:c r="B33" s="44" t="n">
        <x:v>4</x:v>
      </x:c>
      <x:c r="C33" s="44" t="str">
        <x:v>散熱／液冷／電源</x:v>
      </x:c>
      <x:c r="D33" s="44" t="str">
        <x:v>固定核心</x:v>
      </x:c>
      <x:c r="E33" s="44" t="str">
        <x:v>3324</x:v>
      </x:c>
      <x:c r="F33" s="44" t="str">
        <x:v>雙鴻</x:v>
      </x:c>
      <x:c r="G33" s="44" t="str">
        <x:v>上櫃</x:v>
      </x:c>
      <x:c r="H33" s="44" t="str">
        <x:v>TWO</x:v>
      </x:c>
      <x:c r="I33" s="44" t="str">
        <x:v>3324.TWO</x:v>
      </x:c>
      <x:c r="J33" s="44" t="str">
        <x:v>AI散熱／液冷</x:v>
      </x:c>
      <x:c r="K33" s="44" t="str">
        <x:v>https://www.tpex.org.tw/</x:v>
      </x:c>
      <x:c r="L33" s="27" t="str"/>
      <x:c r="M33" s="27" t="str"/>
      <x:c r="N33" s="27" t="str"/>
      <x:c r="O33" s="28" t="str">
        <x:f>IF(L33&lt;&gt;"",L33,E33)</x:f>
        <x:v>3324</x:v>
      </x:c>
      <x:c r="P33" s="28" t="str">
        <x:f>IF(M33&lt;&gt;"",M33,F33)</x:f>
        <x:v>雙鴻</x:v>
      </x:c>
      <x:c r="Q33" s="28" t="str">
        <x:f>IF(N33&lt;&gt;"",N33,G33)</x:f>
        <x:v>上櫃</x:v>
      </x:c>
      <x:c r="R33" s="28" t="str">
        <x:f>IF(Q33="上市","TW",IF(Q33="上櫃","TWO",""))</x:f>
        <x:v>TWO</x:v>
      </x:c>
      <x:c r="S33" s="28" t="str">
        <x:f>IF(OR(O33="",R33=""),"",O33&amp;"."&amp;R33)</x:f>
        <x:v>3324.TWO</x:v>
      </x:c>
      <x:c r="T33" s="26" t="str">
        <x:v>是</x:v>
      </x:c>
      <x:c r="U33" s="29" t="str"/>
    </x:row>
    <x:row r="34">
      <x:c r="A34" s="44" t="n">
        <x:v>33</x:v>
      </x:c>
      <x:c r="B34" s="44" t="n">
        <x:v>4</x:v>
      </x:c>
      <x:c r="C34" s="44" t="str">
        <x:v>散熱／液冷／電源</x:v>
      </x:c>
      <x:c r="D34" s="44" t="str">
        <x:v>固定核心</x:v>
      </x:c>
      <x:c r="E34" s="44" t="str">
        <x:v>3653</x:v>
      </x:c>
      <x:c r="F34" s="44" t="str">
        <x:v>健策</x:v>
      </x:c>
      <x:c r="G34" s="44" t="str">
        <x:v>上市</x:v>
      </x:c>
      <x:c r="H34" s="44" t="str">
        <x:v>TW</x:v>
      </x:c>
      <x:c r="I34" s="44" t="str">
        <x:v>3653.TW</x:v>
      </x:c>
      <x:c r="J34" s="44" t="str">
        <x:v>均熱／散熱</x:v>
      </x:c>
      <x:c r="K34" s="44" t="str">
        <x:v>https://www.twse.com.tw/</x:v>
      </x:c>
      <x:c r="L34" s="27" t="str"/>
      <x:c r="M34" s="27" t="str"/>
      <x:c r="N34" s="27" t="str"/>
      <x:c r="O34" s="28" t="str">
        <x:f>IF(L34&lt;&gt;"",L34,E34)</x:f>
        <x:v>3653</x:v>
      </x:c>
      <x:c r="P34" s="28" t="str">
        <x:f>IF(M34&lt;&gt;"",M34,F34)</x:f>
        <x:v>健策</x:v>
      </x:c>
      <x:c r="Q34" s="28" t="str">
        <x:f>IF(N34&lt;&gt;"",N34,G34)</x:f>
        <x:v>上市</x:v>
      </x:c>
      <x:c r="R34" s="28" t="str">
        <x:f>IF(Q34="上市","TW",IF(Q34="上櫃","TWO",""))</x:f>
        <x:v>TW</x:v>
      </x:c>
      <x:c r="S34" s="28" t="str">
        <x:f>IF(OR(O34="",R34=""),"",O34&amp;"."&amp;R34)</x:f>
        <x:v>3653.TW</x:v>
      </x:c>
      <x:c r="T34" s="26" t="str">
        <x:v>是</x:v>
      </x:c>
      <x:c r="U34" s="29" t="str"/>
    </x:row>
    <x:row r="35">
      <x:c r="A35" s="44" t="n">
        <x:v>34</x:v>
      </x:c>
      <x:c r="B35" s="44" t="n">
        <x:v>4</x:v>
      </x:c>
      <x:c r="C35" s="44" t="str">
        <x:v>散熱／液冷／電源</x:v>
      </x:c>
      <x:c r="D35" s="44" t="str">
        <x:v>固定核心</x:v>
      </x:c>
      <x:c r="E35" s="44" t="str">
        <x:v>2059</x:v>
      </x:c>
      <x:c r="F35" s="44" t="str">
        <x:v>川湖</x:v>
      </x:c>
      <x:c r="G35" s="44" t="str">
        <x:v>上市</x:v>
      </x:c>
      <x:c r="H35" s="44" t="str">
        <x:v>TW</x:v>
      </x:c>
      <x:c r="I35" s="44" t="str">
        <x:v>2059.TW</x:v>
      </x:c>
      <x:c r="J35" s="44" t="str">
        <x:v>伺服器滑軌</x:v>
      </x:c>
      <x:c r="K35" s="44" t="str">
        <x:v>https://www.twse.com.tw/</x:v>
      </x:c>
      <x:c r="L35" s="27" t="str"/>
      <x:c r="M35" s="27" t="str"/>
      <x:c r="N35" s="27" t="str"/>
      <x:c r="O35" s="28" t="str">
        <x:f>IF(L35&lt;&gt;"",L35,E35)</x:f>
        <x:v>2059</x:v>
      </x:c>
      <x:c r="P35" s="28" t="str">
        <x:f>IF(M35&lt;&gt;"",M35,F35)</x:f>
        <x:v>川湖</x:v>
      </x:c>
      <x:c r="Q35" s="28" t="str">
        <x:f>IF(N35&lt;&gt;"",N35,G35)</x:f>
        <x:v>上市</x:v>
      </x:c>
      <x:c r="R35" s="28" t="str">
        <x:f>IF(Q35="上市","TW",IF(Q35="上櫃","TWO",""))</x:f>
        <x:v>TW</x:v>
      </x:c>
      <x:c r="S35" s="28" t="str">
        <x:f>IF(OR(O35="",R35=""),"",O35&amp;"."&amp;R35)</x:f>
        <x:v>2059.TW</x:v>
      </x:c>
      <x:c r="T35" s="26" t="str">
        <x:v>是</x:v>
      </x:c>
      <x:c r="U35" s="29" t="str"/>
    </x:row>
    <x:row r="36">
      <x:c r="A36" s="44" t="n">
        <x:v>35</x:v>
      </x:c>
      <x:c r="B36" s="44" t="n">
        <x:v>4</x:v>
      </x:c>
      <x:c r="C36" s="44" t="str">
        <x:v>散熱／液冷／電源</x:v>
      </x:c>
      <x:c r="D36" s="44" t="str">
        <x:v>固定核心</x:v>
      </x:c>
      <x:c r="E36" s="44" t="str">
        <x:v>8996</x:v>
      </x:c>
      <x:c r="F36" s="44" t="str">
        <x:v>高力</x:v>
      </x:c>
      <x:c r="G36" s="44" t="str">
        <x:v>上市</x:v>
      </x:c>
      <x:c r="H36" s="44" t="str">
        <x:v>TW</x:v>
      </x:c>
      <x:c r="I36" s="44" t="str">
        <x:v>8996.TW</x:v>
      </x:c>
      <x:c r="J36" s="44" t="str">
        <x:v>熱交換／液冷</x:v>
      </x:c>
      <x:c r="K36" s="44" t="str">
        <x:v>https://www.twse.com.tw/</x:v>
      </x:c>
      <x:c r="L36" s="27" t="str"/>
      <x:c r="M36" s="27" t="str"/>
      <x:c r="N36" s="27" t="str"/>
      <x:c r="O36" s="28" t="str">
        <x:f>IF(L36&lt;&gt;"",L36,E36)</x:f>
        <x:v>8996</x:v>
      </x:c>
      <x:c r="P36" s="28" t="str">
        <x:f>IF(M36&lt;&gt;"",M36,F36)</x:f>
        <x:v>高力</x:v>
      </x:c>
      <x:c r="Q36" s="28" t="str">
        <x:f>IF(N36&lt;&gt;"",N36,G36)</x:f>
        <x:v>上市</x:v>
      </x:c>
      <x:c r="R36" s="28" t="str">
        <x:f>IF(Q36="上市","TW",IF(Q36="上櫃","TWO",""))</x:f>
        <x:v>TW</x:v>
      </x:c>
      <x:c r="S36" s="28" t="str">
        <x:f>IF(OR(O36="",R36=""),"",O36&amp;"."&amp;R36)</x:f>
        <x:v>8996.TW</x:v>
      </x:c>
      <x:c r="T36" s="26" t="str">
        <x:v>是</x:v>
      </x:c>
      <x:c r="U36" s="29" t="str"/>
    </x:row>
    <x:row r="37">
      <x:c r="A37" s="44" t="n">
        <x:v>36</x:v>
      </x:c>
      <x:c r="B37" s="44" t="n">
        <x:v>4</x:v>
      </x:c>
      <x:c r="C37" s="44" t="str">
        <x:v>散熱／液冷／電源</x:v>
      </x:c>
      <x:c r="D37" s="44" t="str">
        <x:v>固定核心</x:v>
      </x:c>
      <x:c r="E37" s="44" t="str">
        <x:v>2308</x:v>
      </x:c>
      <x:c r="F37" s="44" t="str">
        <x:v>台達電</x:v>
      </x:c>
      <x:c r="G37" s="44" t="str">
        <x:v>上市</x:v>
      </x:c>
      <x:c r="H37" s="44" t="str">
        <x:v>TW</x:v>
      </x:c>
      <x:c r="I37" s="44" t="str">
        <x:v>2308.TW</x:v>
      </x:c>
      <x:c r="J37" s="44" t="str">
        <x:v>AI電源／散熱</x:v>
      </x:c>
      <x:c r="K37" s="44" t="str">
        <x:v>https://www.twse.com.tw/</x:v>
      </x:c>
      <x:c r="L37" s="27" t="str"/>
      <x:c r="M37" s="27" t="str"/>
      <x:c r="N37" s="27" t="str"/>
      <x:c r="O37" s="28" t="str">
        <x:f>IF(L37&lt;&gt;"",L37,E37)</x:f>
        <x:v>2308</x:v>
      </x:c>
      <x:c r="P37" s="28" t="str">
        <x:f>IF(M37&lt;&gt;"",M37,F37)</x:f>
        <x:v>台達電</x:v>
      </x:c>
      <x:c r="Q37" s="28" t="str">
        <x:f>IF(N37&lt;&gt;"",N37,G37)</x:f>
        <x:v>上市</x:v>
      </x:c>
      <x:c r="R37" s="28" t="str">
        <x:f>IF(Q37="上市","TW",IF(Q37="上櫃","TWO",""))</x:f>
        <x:v>TW</x:v>
      </x:c>
      <x:c r="S37" s="28" t="str">
        <x:f>IF(OR(O37="",R37=""),"",O37&amp;"."&amp;R37)</x:f>
        <x:v>2308.TW</x:v>
      </x:c>
      <x:c r="T37" s="26" t="str">
        <x:v>是</x:v>
      </x:c>
      <x:c r="U37" s="29" t="str"/>
    </x:row>
    <x:row r="38">
      <x:c r="A38" s="44" t="n">
        <x:v>37</x:v>
      </x:c>
      <x:c r="B38" s="44" t="n">
        <x:v>4</x:v>
      </x:c>
      <x:c r="C38" s="44" t="str">
        <x:v>散熱／液冷／電源</x:v>
      </x:c>
      <x:c r="D38" s="44" t="str">
        <x:v>固定核心</x:v>
      </x:c>
      <x:c r="E38" s="44" t="str">
        <x:v>2301</x:v>
      </x:c>
      <x:c r="F38" s="44" t="str">
        <x:v>光寶科</x:v>
      </x:c>
      <x:c r="G38" s="44" t="str">
        <x:v>上市</x:v>
      </x:c>
      <x:c r="H38" s="44" t="str">
        <x:v>TW</x:v>
      </x:c>
      <x:c r="I38" s="44" t="str">
        <x:v>2301.TW</x:v>
      </x:c>
      <x:c r="J38" s="44" t="str">
        <x:v>AI電源</x:v>
      </x:c>
      <x:c r="K38" s="44" t="str">
        <x:v>https://www.twse.com.tw/</x:v>
      </x:c>
      <x:c r="L38" s="27" t="str"/>
      <x:c r="M38" s="27" t="str"/>
      <x:c r="N38" s="27" t="str"/>
      <x:c r="O38" s="28" t="str">
        <x:f>IF(L38&lt;&gt;"",L38,E38)</x:f>
        <x:v>2301</x:v>
      </x:c>
      <x:c r="P38" s="28" t="str">
        <x:f>IF(M38&lt;&gt;"",M38,F38)</x:f>
        <x:v>光寶科</x:v>
      </x:c>
      <x:c r="Q38" s="28" t="str">
        <x:f>IF(N38&lt;&gt;"",N38,G38)</x:f>
        <x:v>上市</x:v>
      </x:c>
      <x:c r="R38" s="28" t="str">
        <x:f>IF(Q38="上市","TW",IF(Q38="上櫃","TWO",""))</x:f>
        <x:v>TW</x:v>
      </x:c>
      <x:c r="S38" s="28" t="str">
        <x:f>IF(OR(O38="",R38=""),"",O38&amp;"."&amp;R38)</x:f>
        <x:v>2301.TW</x:v>
      </x:c>
      <x:c r="T38" s="26" t="str">
        <x:v>是</x:v>
      </x:c>
      <x:c r="U38" s="29" t="str"/>
    </x:row>
    <x:row r="39">
      <x:c r="A39" s="44" t="n">
        <x:v>38</x:v>
      </x:c>
      <x:c r="B39" s="44" t="n">
        <x:v>4</x:v>
      </x:c>
      <x:c r="C39" s="44" t="str">
        <x:v>散熱／液冷／電源</x:v>
      </x:c>
      <x:c r="D39" s="44" t="str">
        <x:v>固定核心</x:v>
      </x:c>
      <x:c r="E39" s="44" t="str">
        <x:v>2421</x:v>
      </x:c>
      <x:c r="F39" s="44" t="str">
        <x:v>建準</x:v>
      </x:c>
      <x:c r="G39" s="44" t="str">
        <x:v>上市</x:v>
      </x:c>
      <x:c r="H39" s="44" t="str">
        <x:v>TW</x:v>
      </x:c>
      <x:c r="I39" s="44" t="str">
        <x:v>2421.TW</x:v>
      </x:c>
      <x:c r="J39" s="44" t="str">
        <x:v>風扇／散熱</x:v>
      </x:c>
      <x:c r="K39" s="44" t="str">
        <x:v>https://www.twse.com.tw/</x:v>
      </x:c>
      <x:c r="L39" s="27" t="str"/>
      <x:c r="M39" s="27" t="str"/>
      <x:c r="N39" s="27" t="str"/>
      <x:c r="O39" s="28" t="str">
        <x:f>IF(L39&lt;&gt;"",L39,E39)</x:f>
        <x:v>2421</x:v>
      </x:c>
      <x:c r="P39" s="28" t="str">
        <x:f>IF(M39&lt;&gt;"",M39,F39)</x:f>
        <x:v>建準</x:v>
      </x:c>
      <x:c r="Q39" s="28" t="str">
        <x:f>IF(N39&lt;&gt;"",N39,G39)</x:f>
        <x:v>上市</x:v>
      </x:c>
      <x:c r="R39" s="28" t="str">
        <x:f>IF(Q39="上市","TW",IF(Q39="上櫃","TWO",""))</x:f>
        <x:v>TW</x:v>
      </x:c>
      <x:c r="S39" s="28" t="str">
        <x:f>IF(OR(O39="",R39=""),"",O39&amp;"."&amp;R39)</x:f>
        <x:v>2421.TW</x:v>
      </x:c>
      <x:c r="T39" s="26" t="str">
        <x:v>是</x:v>
      </x:c>
      <x:c r="U39" s="29" t="str"/>
    </x:row>
    <x:row r="40">
      <x:c r="A40" s="44" t="n">
        <x:v>39</x:v>
      </x:c>
      <x:c r="B40" s="44" t="n">
        <x:v>4</x:v>
      </x:c>
      <x:c r="C40" s="44" t="str">
        <x:v>散熱／液冷／電源</x:v>
      </x:c>
      <x:c r="D40" s="44" t="str">
        <x:v>固定核心</x:v>
      </x:c>
      <x:c r="E40" s="44" t="str">
        <x:v>6230</x:v>
      </x:c>
      <x:c r="F40" s="44" t="str">
        <x:v>尼得科超眾</x:v>
      </x:c>
      <x:c r="G40" s="44" t="str">
        <x:v>上市</x:v>
      </x:c>
      <x:c r="H40" s="44" t="str">
        <x:v>TW</x:v>
      </x:c>
      <x:c r="I40" s="44" t="str">
        <x:v>6230.TW</x:v>
      </x:c>
      <x:c r="J40" s="44" t="str">
        <x:v>散熱模組</x:v>
      </x:c>
      <x:c r="K40" s="44" t="str">
        <x:v>https://www.twse.com.tw/</x:v>
      </x:c>
      <x:c r="L40" s="27" t="str"/>
      <x:c r="M40" s="27" t="str"/>
      <x:c r="N40" s="27" t="str"/>
      <x:c r="O40" s="28" t="str">
        <x:f>IF(L40&lt;&gt;"",L40,E40)</x:f>
        <x:v>6230</x:v>
      </x:c>
      <x:c r="P40" s="28" t="str">
        <x:f>IF(M40&lt;&gt;"",M40,F40)</x:f>
        <x:v>尼得科超眾</x:v>
      </x:c>
      <x:c r="Q40" s="28" t="str">
        <x:f>IF(N40&lt;&gt;"",N40,G40)</x:f>
        <x:v>上市</x:v>
      </x:c>
      <x:c r="R40" s="28" t="str">
        <x:f>IF(Q40="上市","TW",IF(Q40="上櫃","TWO",""))</x:f>
        <x:v>TW</x:v>
      </x:c>
      <x:c r="S40" s="28" t="str">
        <x:f>IF(OR(O40="",R40=""),"",O40&amp;"."&amp;R40)</x:f>
        <x:v>6230.TW</x:v>
      </x:c>
      <x:c r="T40" s="26" t="str">
        <x:v>是</x:v>
      </x:c>
      <x:c r="U40" s="29" t="str"/>
    </x:row>
    <x:row r="41">
      <x:c r="A41" s="44" t="n">
        <x:v>40</x:v>
      </x:c>
      <x:c r="B41" s="44" t="n">
        <x:v>4</x:v>
      </x:c>
      <x:c r="C41" s="44" t="str">
        <x:v>散熱／液冷／電源</x:v>
      </x:c>
      <x:c r="D41" s="44" t="str">
        <x:v>固定核心</x:v>
      </x:c>
      <x:c r="E41" s="44" t="str">
        <x:v>3483</x:v>
      </x:c>
      <x:c r="F41" s="44" t="str">
        <x:v>力致</x:v>
      </x:c>
      <x:c r="G41" s="44" t="str">
        <x:v>上櫃</x:v>
      </x:c>
      <x:c r="H41" s="44" t="str">
        <x:v>TWO</x:v>
      </x:c>
      <x:c r="I41" s="44" t="str">
        <x:v>3483.TWO</x:v>
      </x:c>
      <x:c r="J41" s="44" t="str">
        <x:v>散熱</x:v>
      </x:c>
      <x:c r="K41" s="44" t="str">
        <x:v>https://www.tpex.org.tw/</x:v>
      </x:c>
      <x:c r="L41" s="27" t="str"/>
      <x:c r="M41" s="27" t="str"/>
      <x:c r="N41" s="27" t="str"/>
      <x:c r="O41" s="28" t="str">
        <x:f>IF(L41&lt;&gt;"",L41,E41)</x:f>
        <x:v>3483</x:v>
      </x:c>
      <x:c r="P41" s="28" t="str">
        <x:f>IF(M41&lt;&gt;"",M41,F41)</x:f>
        <x:v>力致</x:v>
      </x:c>
      <x:c r="Q41" s="28" t="str">
        <x:f>IF(N41&lt;&gt;"",N41,G41)</x:f>
        <x:v>上櫃</x:v>
      </x:c>
      <x:c r="R41" s="28" t="str">
        <x:f>IF(Q41="上市","TW",IF(Q41="上櫃","TWO",""))</x:f>
        <x:v>TWO</x:v>
      </x:c>
      <x:c r="S41" s="28" t="str">
        <x:f>IF(OR(O41="",R41=""),"",O41&amp;"."&amp;R41)</x:f>
        <x:v>3483.TWO</x:v>
      </x:c>
      <x:c r="T41" s="26" t="str">
        <x:v>是</x:v>
      </x:c>
      <x:c r="U41" s="29" t="str"/>
    </x:row>
    <x:row r="42">
      <x:c r="A42" s="46" t="n">
        <x:v>41</x:v>
      </x:c>
      <x:c r="B42" s="46" t="n">
        <x:v>5</x:v>
      </x:c>
      <x:c r="C42" s="46" t="str">
        <x:v>記憶體／儲存</x:v>
      </x:c>
      <x:c r="D42" s="46" t="str">
        <x:v>固定核心</x:v>
      </x:c>
      <x:c r="E42" s="46" t="str">
        <x:v>2408</x:v>
      </x:c>
      <x:c r="F42" s="46" t="str">
        <x:v>南亞科</x:v>
      </x:c>
      <x:c r="G42" s="46" t="str">
        <x:v>上市</x:v>
      </x:c>
      <x:c r="H42" s="46" t="str">
        <x:v>TW</x:v>
      </x:c>
      <x:c r="I42" s="46" t="str">
        <x:v>2408.TW</x:v>
      </x:c>
      <x:c r="J42" s="46" t="str">
        <x:v>DRAM</x:v>
      </x:c>
      <x:c r="K42" s="46" t="str">
        <x:v>https://www.twse.com.tw/</x:v>
      </x:c>
      <x:c r="L42" s="27" t="str"/>
      <x:c r="M42" s="27" t="str"/>
      <x:c r="N42" s="27" t="str"/>
      <x:c r="O42" s="28" t="str">
        <x:f>IF(L42&lt;&gt;"",L42,E42)</x:f>
        <x:v>2408</x:v>
      </x:c>
      <x:c r="P42" s="28" t="str">
        <x:f>IF(M42&lt;&gt;"",M42,F42)</x:f>
        <x:v>南亞科</x:v>
      </x:c>
      <x:c r="Q42" s="28" t="str">
        <x:f>IF(N42&lt;&gt;"",N42,G42)</x:f>
        <x:v>上市</x:v>
      </x:c>
      <x:c r="R42" s="28" t="str">
        <x:f>IF(Q42="上市","TW",IF(Q42="上櫃","TWO",""))</x:f>
        <x:v>TW</x:v>
      </x:c>
      <x:c r="S42" s="28" t="str">
        <x:f>IF(OR(O42="",R42=""),"",O42&amp;"."&amp;R42)</x:f>
        <x:v>2408.TW</x:v>
      </x:c>
      <x:c r="T42" s="26" t="str">
        <x:v>是</x:v>
      </x:c>
      <x:c r="U42" s="29" t="str"/>
    </x:row>
    <x:row r="43">
      <x:c r="A43" s="46" t="n">
        <x:v>42</x:v>
      </x:c>
      <x:c r="B43" s="46" t="n">
        <x:v>5</x:v>
      </x:c>
      <x:c r="C43" s="46" t="str">
        <x:v>記憶體／儲存</x:v>
      </x:c>
      <x:c r="D43" s="46" t="str">
        <x:v>固定核心</x:v>
      </x:c>
      <x:c r="E43" s="46" t="str">
        <x:v>2344</x:v>
      </x:c>
      <x:c r="F43" s="46" t="str">
        <x:v>華邦電</x:v>
      </x:c>
      <x:c r="G43" s="46" t="str">
        <x:v>上市</x:v>
      </x:c>
      <x:c r="H43" s="46" t="str">
        <x:v>TW</x:v>
      </x:c>
      <x:c r="I43" s="46" t="str">
        <x:v>2344.TW</x:v>
      </x:c>
      <x:c r="J43" s="46" t="str">
        <x:v>DRAM／NOR Flash</x:v>
      </x:c>
      <x:c r="K43" s="46" t="str">
        <x:v>https://www.twse.com.tw/</x:v>
      </x:c>
      <x:c r="L43" s="27" t="str"/>
      <x:c r="M43" s="27" t="str"/>
      <x:c r="N43" s="27" t="str"/>
      <x:c r="O43" s="28" t="str">
        <x:f>IF(L43&lt;&gt;"",L43,E43)</x:f>
        <x:v>2344</x:v>
      </x:c>
      <x:c r="P43" s="28" t="str">
        <x:f>IF(M43&lt;&gt;"",M43,F43)</x:f>
        <x:v>華邦電</x:v>
      </x:c>
      <x:c r="Q43" s="28" t="str">
        <x:f>IF(N43&lt;&gt;"",N43,G43)</x:f>
        <x:v>上市</x:v>
      </x:c>
      <x:c r="R43" s="28" t="str">
        <x:f>IF(Q43="上市","TW",IF(Q43="上櫃","TWO",""))</x:f>
        <x:v>TW</x:v>
      </x:c>
      <x:c r="S43" s="28" t="str">
        <x:f>IF(OR(O43="",R43=""),"",O43&amp;"."&amp;R43)</x:f>
        <x:v>2344.TW</x:v>
      </x:c>
      <x:c r="T43" s="26" t="str">
        <x:v>是</x:v>
      </x:c>
      <x:c r="U43" s="29" t="str"/>
    </x:row>
    <x:row r="44">
      <x:c r="A44" s="46" t="n">
        <x:v>43</x:v>
      </x:c>
      <x:c r="B44" s="46" t="n">
        <x:v>5</x:v>
      </x:c>
      <x:c r="C44" s="46" t="str">
        <x:v>記憶體／儲存</x:v>
      </x:c>
      <x:c r="D44" s="46" t="str">
        <x:v>固定核心</x:v>
      </x:c>
      <x:c r="E44" s="46" t="str">
        <x:v>2337</x:v>
      </x:c>
      <x:c r="F44" s="46" t="str">
        <x:v>旺宏</x:v>
      </x:c>
      <x:c r="G44" s="46" t="str">
        <x:v>上市</x:v>
      </x:c>
      <x:c r="H44" s="46" t="str">
        <x:v>TW</x:v>
      </x:c>
      <x:c r="I44" s="46" t="str">
        <x:v>2337.TW</x:v>
      </x:c>
      <x:c r="J44" s="46" t="str">
        <x:v>NOR Flash</x:v>
      </x:c>
      <x:c r="K44" s="46" t="str">
        <x:v>https://www.twse.com.tw/</x:v>
      </x:c>
      <x:c r="L44" s="27" t="str"/>
      <x:c r="M44" s="27" t="str"/>
      <x:c r="N44" s="27" t="str"/>
      <x:c r="O44" s="28" t="str">
        <x:f>IF(L44&lt;&gt;"",L44,E44)</x:f>
        <x:v>2337</x:v>
      </x:c>
      <x:c r="P44" s="28" t="str">
        <x:f>IF(M44&lt;&gt;"",M44,F44)</x:f>
        <x:v>旺宏</x:v>
      </x:c>
      <x:c r="Q44" s="28" t="str">
        <x:f>IF(N44&lt;&gt;"",N44,G44)</x:f>
        <x:v>上市</x:v>
      </x:c>
      <x:c r="R44" s="28" t="str">
        <x:f>IF(Q44="上市","TW",IF(Q44="上櫃","TWO",""))</x:f>
        <x:v>TW</x:v>
      </x:c>
      <x:c r="S44" s="28" t="str">
        <x:f>IF(OR(O44="",R44=""),"",O44&amp;"."&amp;R44)</x:f>
        <x:v>2337.TW</x:v>
      </x:c>
      <x:c r="T44" s="26" t="str">
        <x:v>是</x:v>
      </x:c>
      <x:c r="U44" s="29" t="str"/>
    </x:row>
    <x:row r="45">
      <x:c r="A45" s="46" t="n">
        <x:v>44</x:v>
      </x:c>
      <x:c r="B45" s="46" t="n">
        <x:v>5</x:v>
      </x:c>
      <x:c r="C45" s="46" t="str">
        <x:v>記憶體／儲存</x:v>
      </x:c>
      <x:c r="D45" s="46" t="str">
        <x:v>固定核心</x:v>
      </x:c>
      <x:c r="E45" s="46" t="str">
        <x:v>8299</x:v>
      </x:c>
      <x:c r="F45" s="46" t="str">
        <x:v>群聯</x:v>
      </x:c>
      <x:c r="G45" s="46" t="str">
        <x:v>上櫃</x:v>
      </x:c>
      <x:c r="H45" s="46" t="str">
        <x:v>TWO</x:v>
      </x:c>
      <x:c r="I45" s="46" t="str">
        <x:v>8299.TWO</x:v>
      </x:c>
      <x:c r="J45" s="46" t="str">
        <x:v>NAND控制IC／SSD</x:v>
      </x:c>
      <x:c r="K45" s="46" t="str">
        <x:v>https://www.tpex.org.tw/</x:v>
      </x:c>
      <x:c r="L45" s="27" t="str"/>
      <x:c r="M45" s="27" t="str"/>
      <x:c r="N45" s="27" t="str"/>
      <x:c r="O45" s="28" t="str">
        <x:f>IF(L45&lt;&gt;"",L45,E45)</x:f>
        <x:v>8299</x:v>
      </x:c>
      <x:c r="P45" s="28" t="str">
        <x:f>IF(M45&lt;&gt;"",M45,F45)</x:f>
        <x:v>群聯</x:v>
      </x:c>
      <x:c r="Q45" s="28" t="str">
        <x:f>IF(N45&lt;&gt;"",N45,G45)</x:f>
        <x:v>上櫃</x:v>
      </x:c>
      <x:c r="R45" s="28" t="str">
        <x:f>IF(Q45="上市","TW",IF(Q45="上櫃","TWO",""))</x:f>
        <x:v>TWO</x:v>
      </x:c>
      <x:c r="S45" s="28" t="str">
        <x:f>IF(OR(O45="",R45=""),"",O45&amp;"."&amp;R45)</x:f>
        <x:v>8299.TWO</x:v>
      </x:c>
      <x:c r="T45" s="26" t="str">
        <x:v>是</x:v>
      </x:c>
      <x:c r="U45" s="29" t="str"/>
    </x:row>
    <x:row r="46">
      <x:c r="A46" s="46" t="n">
        <x:v>45</x:v>
      </x:c>
      <x:c r="B46" s="46" t="n">
        <x:v>5</x:v>
      </x:c>
      <x:c r="C46" s="46" t="str">
        <x:v>記憶體／儲存</x:v>
      </x:c>
      <x:c r="D46" s="46" t="str">
        <x:v>固定核心</x:v>
      </x:c>
      <x:c r="E46" s="46" t="str">
        <x:v>5289</x:v>
      </x:c>
      <x:c r="F46" s="46" t="str">
        <x:v>宜鼎</x:v>
      </x:c>
      <x:c r="G46" s="46" t="str">
        <x:v>上櫃</x:v>
      </x:c>
      <x:c r="H46" s="46" t="str">
        <x:v>TWO</x:v>
      </x:c>
      <x:c r="I46" s="46" t="str">
        <x:v>5289.TWO</x:v>
      </x:c>
      <x:c r="J46" s="46" t="str">
        <x:v>工控／AI儲存</x:v>
      </x:c>
      <x:c r="K46" s="46" t="str">
        <x:v>https://www.tpex.org.tw/</x:v>
      </x:c>
      <x:c r="L46" s="27" t="str"/>
      <x:c r="M46" s="27" t="str"/>
      <x:c r="N46" s="27" t="str"/>
      <x:c r="O46" s="28" t="str">
        <x:f>IF(L46&lt;&gt;"",L46,E46)</x:f>
        <x:v>5289</x:v>
      </x:c>
      <x:c r="P46" s="28" t="str">
        <x:f>IF(M46&lt;&gt;"",M46,F46)</x:f>
        <x:v>宜鼎</x:v>
      </x:c>
      <x:c r="Q46" s="28" t="str">
        <x:f>IF(N46&lt;&gt;"",N46,G46)</x:f>
        <x:v>上櫃</x:v>
      </x:c>
      <x:c r="R46" s="28" t="str">
        <x:f>IF(Q46="上市","TW",IF(Q46="上櫃","TWO",""))</x:f>
        <x:v>TWO</x:v>
      </x:c>
      <x:c r="S46" s="28" t="str">
        <x:f>IF(OR(O46="",R46=""),"",O46&amp;"."&amp;R46)</x:f>
        <x:v>5289.TWO</x:v>
      </x:c>
      <x:c r="T46" s="26" t="str">
        <x:v>是</x:v>
      </x:c>
      <x:c r="U46" s="29" t="str"/>
    </x:row>
    <x:row r="47">
      <x:c r="A47" s="46" t="n">
        <x:v>46</x:v>
      </x:c>
      <x:c r="B47" s="46" t="n">
        <x:v>5</x:v>
      </x:c>
      <x:c r="C47" s="46" t="str">
        <x:v>記憶體／儲存</x:v>
      </x:c>
      <x:c r="D47" s="46" t="str">
        <x:v>固定核心</x:v>
      </x:c>
      <x:c r="E47" s="46" t="str">
        <x:v>3260</x:v>
      </x:c>
      <x:c r="F47" s="46" t="str">
        <x:v>威剛</x:v>
      </x:c>
      <x:c r="G47" s="46" t="str">
        <x:v>上櫃</x:v>
      </x:c>
      <x:c r="H47" s="46" t="str">
        <x:v>TWO</x:v>
      </x:c>
      <x:c r="I47" s="46" t="str">
        <x:v>3260.TWO</x:v>
      </x:c>
      <x:c r="J47" s="46" t="str">
        <x:v>記憶體模組／SSD</x:v>
      </x:c>
      <x:c r="K47" s="46" t="str">
        <x:v>https://www.tpex.org.tw/</x:v>
      </x:c>
      <x:c r="L47" s="27" t="str"/>
      <x:c r="M47" s="27" t="str"/>
      <x:c r="N47" s="27" t="str"/>
      <x:c r="O47" s="28" t="str">
        <x:f>IF(L47&lt;&gt;"",L47,E47)</x:f>
        <x:v>3260</x:v>
      </x:c>
      <x:c r="P47" s="28" t="str">
        <x:f>IF(M47&lt;&gt;"",M47,F47)</x:f>
        <x:v>威剛</x:v>
      </x:c>
      <x:c r="Q47" s="28" t="str">
        <x:f>IF(N47&lt;&gt;"",N47,G47)</x:f>
        <x:v>上櫃</x:v>
      </x:c>
      <x:c r="R47" s="28" t="str">
        <x:f>IF(Q47="上市","TW",IF(Q47="上櫃","TWO",""))</x:f>
        <x:v>TWO</x:v>
      </x:c>
      <x:c r="S47" s="28" t="str">
        <x:f>IF(OR(O47="",R47=""),"",O47&amp;"."&amp;R47)</x:f>
        <x:v>3260.TWO</x:v>
      </x:c>
      <x:c r="T47" s="26" t="str">
        <x:v>是</x:v>
      </x:c>
      <x:c r="U47" s="29" t="str"/>
    </x:row>
    <x:row r="48">
      <x:c r="A48" s="46" t="n">
        <x:v>47</x:v>
      </x:c>
      <x:c r="B48" s="46" t="n">
        <x:v>5</x:v>
      </x:c>
      <x:c r="C48" s="46" t="str">
        <x:v>記憶體／儲存</x:v>
      </x:c>
      <x:c r="D48" s="46" t="str">
        <x:v>固定核心</x:v>
      </x:c>
      <x:c r="E48" s="46" t="str">
        <x:v>2451</x:v>
      </x:c>
      <x:c r="F48" s="46" t="str">
        <x:v>創見</x:v>
      </x:c>
      <x:c r="G48" s="46" t="str">
        <x:v>上市</x:v>
      </x:c>
      <x:c r="H48" s="46" t="str">
        <x:v>TW</x:v>
      </x:c>
      <x:c r="I48" s="46" t="str">
        <x:v>2451.TW</x:v>
      </x:c>
      <x:c r="J48" s="46" t="str">
        <x:v>記憶體模組</x:v>
      </x:c>
      <x:c r="K48" s="46" t="str">
        <x:v>https://www.twse.com.tw/</x:v>
      </x:c>
      <x:c r="L48" s="27" t="str"/>
      <x:c r="M48" s="27" t="str"/>
      <x:c r="N48" s="27" t="str"/>
      <x:c r="O48" s="28" t="str">
        <x:f>IF(L48&lt;&gt;"",L48,E48)</x:f>
        <x:v>2451</x:v>
      </x:c>
      <x:c r="P48" s="28" t="str">
        <x:f>IF(M48&lt;&gt;"",M48,F48)</x:f>
        <x:v>創見</x:v>
      </x:c>
      <x:c r="Q48" s="28" t="str">
        <x:f>IF(N48&lt;&gt;"",N48,G48)</x:f>
        <x:v>上市</x:v>
      </x:c>
      <x:c r="R48" s="28" t="str">
        <x:f>IF(Q48="上市","TW",IF(Q48="上櫃","TWO",""))</x:f>
        <x:v>TW</x:v>
      </x:c>
      <x:c r="S48" s="28" t="str">
        <x:f>IF(OR(O48="",R48=""),"",O48&amp;"."&amp;R48)</x:f>
        <x:v>2451.TW</x:v>
      </x:c>
      <x:c r="T48" s="26" t="str">
        <x:v>是</x:v>
      </x:c>
      <x:c r="U48" s="29" t="str"/>
    </x:row>
    <x:row r="49">
      <x:c r="A49" s="46" t="n">
        <x:v>48</x:v>
      </x:c>
      <x:c r="B49" s="46" t="n">
        <x:v>5</x:v>
      </x:c>
      <x:c r="C49" s="46" t="str">
        <x:v>記憶體／儲存</x:v>
      </x:c>
      <x:c r="D49" s="46" t="str">
        <x:v>固定核心</x:v>
      </x:c>
      <x:c r="E49" s="46" t="str">
        <x:v>3006</x:v>
      </x:c>
      <x:c r="F49" s="46" t="str">
        <x:v>晶豪科</x:v>
      </x:c>
      <x:c r="G49" s="46" t="str">
        <x:v>上市</x:v>
      </x:c>
      <x:c r="H49" s="46" t="str">
        <x:v>TW</x:v>
      </x:c>
      <x:c r="I49" s="46" t="str">
        <x:v>3006.TW</x:v>
      </x:c>
      <x:c r="J49" s="46" t="str">
        <x:v>記憶體IC</x:v>
      </x:c>
      <x:c r="K49" s="46" t="str">
        <x:v>https://www.twse.com.tw/</x:v>
      </x:c>
      <x:c r="L49" s="27" t="str"/>
      <x:c r="M49" s="27" t="str"/>
      <x:c r="N49" s="27" t="str"/>
      <x:c r="O49" s="28" t="str">
        <x:f>IF(L49&lt;&gt;"",L49,E49)</x:f>
        <x:v>3006</x:v>
      </x:c>
      <x:c r="P49" s="28" t="str">
        <x:f>IF(M49&lt;&gt;"",M49,F49)</x:f>
        <x:v>晶豪科</x:v>
      </x:c>
      <x:c r="Q49" s="28" t="str">
        <x:f>IF(N49&lt;&gt;"",N49,G49)</x:f>
        <x:v>上市</x:v>
      </x:c>
      <x:c r="R49" s="28" t="str">
        <x:f>IF(Q49="上市","TW",IF(Q49="上櫃","TWO",""))</x:f>
        <x:v>TW</x:v>
      </x:c>
      <x:c r="S49" s="28" t="str">
        <x:f>IF(OR(O49="",R49=""),"",O49&amp;"."&amp;R49)</x:f>
        <x:v>3006.TW</x:v>
      </x:c>
      <x:c r="T49" s="26" t="str">
        <x:v>是</x:v>
      </x:c>
      <x:c r="U49" s="29" t="str"/>
    </x:row>
    <x:row r="50">
      <x:c r="A50" s="46" t="n">
        <x:v>49</x:v>
      </x:c>
      <x:c r="B50" s="46" t="n">
        <x:v>5</x:v>
      </x:c>
      <x:c r="C50" s="46" t="str">
        <x:v>記憶體／儲存</x:v>
      </x:c>
      <x:c r="D50" s="46" t="str">
        <x:v>固定核心</x:v>
      </x:c>
      <x:c r="E50" s="46" t="str">
        <x:v>8271</x:v>
      </x:c>
      <x:c r="F50" s="46" t="str">
        <x:v>宇瞻</x:v>
      </x:c>
      <x:c r="G50" s="46" t="str">
        <x:v>上櫃</x:v>
      </x:c>
      <x:c r="H50" s="46" t="str">
        <x:v>TWO</x:v>
      </x:c>
      <x:c r="I50" s="46" t="str">
        <x:v>8271.TWO</x:v>
      </x:c>
      <x:c r="J50" s="46" t="str">
        <x:v>工控記憶體</x:v>
      </x:c>
      <x:c r="K50" s="46" t="str">
        <x:v>https://www.tpex.org.tw/</x:v>
      </x:c>
      <x:c r="L50" s="27" t="str"/>
      <x:c r="M50" s="27" t="str"/>
      <x:c r="N50" s="27" t="str"/>
      <x:c r="O50" s="28" t="str">
        <x:f>IF(L50&lt;&gt;"",L50,E50)</x:f>
        <x:v>8271</x:v>
      </x:c>
      <x:c r="P50" s="28" t="str">
        <x:f>IF(M50&lt;&gt;"",M50,F50)</x:f>
        <x:v>宇瞻</x:v>
      </x:c>
      <x:c r="Q50" s="28" t="str">
        <x:f>IF(N50&lt;&gt;"",N50,G50)</x:f>
        <x:v>上櫃</x:v>
      </x:c>
      <x:c r="R50" s="28" t="str">
        <x:f>IF(Q50="上市","TW",IF(Q50="上櫃","TWO",""))</x:f>
        <x:v>TWO</x:v>
      </x:c>
      <x:c r="S50" s="28" t="str">
        <x:f>IF(OR(O50="",R50=""),"",O50&amp;"."&amp;R50)</x:f>
        <x:v>8271.TWO</x:v>
      </x:c>
      <x:c r="T50" s="26" t="str">
        <x:v>是</x:v>
      </x:c>
      <x:c r="U50" s="29" t="str"/>
    </x:row>
    <x:row r="51">
      <x:c r="A51" s="46" t="n">
        <x:v>50</x:v>
      </x:c>
      <x:c r="B51" s="46" t="n">
        <x:v>5</x:v>
      </x:c>
      <x:c r="C51" s="46" t="str">
        <x:v>記憶體／儲存</x:v>
      </x:c>
      <x:c r="D51" s="46" t="str">
        <x:v>固定核心</x:v>
      </x:c>
      <x:c r="E51" s="46" t="str">
        <x:v>6770</x:v>
      </x:c>
      <x:c r="F51" s="46" t="str">
        <x:v>力積電</x:v>
      </x:c>
      <x:c r="G51" s="46" t="str">
        <x:v>上市</x:v>
      </x:c>
      <x:c r="H51" s="46" t="str">
        <x:v>TW</x:v>
      </x:c>
      <x:c r="I51" s="46" t="str">
        <x:v>6770.TW</x:v>
      </x:c>
      <x:c r="J51" s="46" t="str">
        <x:v>晶圓代工／記憶體</x:v>
      </x:c>
      <x:c r="K51" s="46" t="str">
        <x:v>https://www.twse.com.tw/</x:v>
      </x:c>
      <x:c r="L51" s="27" t="str"/>
      <x:c r="M51" s="27" t="str"/>
      <x:c r="N51" s="27" t="str"/>
      <x:c r="O51" s="28" t="str">
        <x:f>IF(L51&lt;&gt;"",L51,E51)</x:f>
        <x:v>6770</x:v>
      </x:c>
      <x:c r="P51" s="28" t="str">
        <x:f>IF(M51&lt;&gt;"",M51,F51)</x:f>
        <x:v>力積電</x:v>
      </x:c>
      <x:c r="Q51" s="28" t="str">
        <x:f>IF(N51&lt;&gt;"",N51,G51)</x:f>
        <x:v>上市</x:v>
      </x:c>
      <x:c r="R51" s="28" t="str">
        <x:f>IF(Q51="上市","TW",IF(Q51="上櫃","TWO",""))</x:f>
        <x:v>TW</x:v>
      </x:c>
      <x:c r="S51" s="28" t="str">
        <x:f>IF(OR(O51="",R51=""),"",O51&amp;"."&amp;R51)</x:f>
        <x:v>6770.TW</x:v>
      </x:c>
      <x:c r="T51" s="26" t="str">
        <x:v>是</x:v>
      </x:c>
      <x:c r="U51" s="29" t="str"/>
    </x:row>
    <x:row r="52">
      <x:c r="A52" s="48" t="n">
        <x:v>51</x:v>
      </x:c>
      <x:c r="B52" s="48" t="n">
        <x:v>6</x:v>
      </x:c>
      <x:c r="C52" s="48" t="str">
        <x:v>被動元件／矽晶圓／先進封測</x:v>
      </x:c>
      <x:c r="D52" s="48" t="str">
        <x:v>固定核心</x:v>
      </x:c>
      <x:c r="E52" s="48" t="str">
        <x:v>2327</x:v>
      </x:c>
      <x:c r="F52" s="48" t="str">
        <x:v>國巨</x:v>
      </x:c>
      <x:c r="G52" s="48" t="str">
        <x:v>上市</x:v>
      </x:c>
      <x:c r="H52" s="48" t="str">
        <x:v>TW</x:v>
      </x:c>
      <x:c r="I52" s="48" t="str">
        <x:v>2327.TW</x:v>
      </x:c>
      <x:c r="J52" s="48" t="str">
        <x:v>MLCC／電阻／電感</x:v>
      </x:c>
      <x:c r="K52" s="48" t="str">
        <x:v>https://www.twse.com.tw/</x:v>
      </x:c>
      <x:c r="L52" s="27" t="str"/>
      <x:c r="M52" s="27" t="str"/>
      <x:c r="N52" s="27" t="str"/>
      <x:c r="O52" s="28" t="str">
        <x:f>IF(L52&lt;&gt;"",L52,E52)</x:f>
        <x:v>2327</x:v>
      </x:c>
      <x:c r="P52" s="28" t="str">
        <x:f>IF(M52&lt;&gt;"",M52,F52)</x:f>
        <x:v>國巨</x:v>
      </x:c>
      <x:c r="Q52" s="28" t="str">
        <x:f>IF(N52&lt;&gt;"",N52,G52)</x:f>
        <x:v>上市</x:v>
      </x:c>
      <x:c r="R52" s="28" t="str">
        <x:f>IF(Q52="上市","TW",IF(Q52="上櫃","TWO",""))</x:f>
        <x:v>TW</x:v>
      </x:c>
      <x:c r="S52" s="28" t="str">
        <x:f>IF(OR(O52="",R52=""),"",O52&amp;"."&amp;R52)</x:f>
        <x:v>2327.TW</x:v>
      </x:c>
      <x:c r="T52" s="26" t="str">
        <x:v>是</x:v>
      </x:c>
      <x:c r="U52" s="29" t="str"/>
    </x:row>
    <x:row r="53">
      <x:c r="A53" s="48" t="n">
        <x:v>52</x:v>
      </x:c>
      <x:c r="B53" s="48" t="n">
        <x:v>6</x:v>
      </x:c>
      <x:c r="C53" s="48" t="str">
        <x:v>被動元件／矽晶圓／先進封測</x:v>
      </x:c>
      <x:c r="D53" s="48" t="str">
        <x:v>固定核心</x:v>
      </x:c>
      <x:c r="E53" s="48" t="str">
        <x:v>2492</x:v>
      </x:c>
      <x:c r="F53" s="48" t="str">
        <x:v>華新科</x:v>
      </x:c>
      <x:c r="G53" s="48" t="str">
        <x:v>上市</x:v>
      </x:c>
      <x:c r="H53" s="48" t="str">
        <x:v>TW</x:v>
      </x:c>
      <x:c r="I53" s="48" t="str">
        <x:v>2492.TW</x:v>
      </x:c>
      <x:c r="J53" s="48" t="str">
        <x:v>MLCC</x:v>
      </x:c>
      <x:c r="K53" s="48" t="str">
        <x:v>https://www.twse.com.tw/</x:v>
      </x:c>
      <x:c r="L53" s="27" t="str"/>
      <x:c r="M53" s="27" t="str"/>
      <x:c r="N53" s="27" t="str"/>
      <x:c r="O53" s="28" t="str">
        <x:f>IF(L53&lt;&gt;"",L53,E53)</x:f>
        <x:v>2492</x:v>
      </x:c>
      <x:c r="P53" s="28" t="str">
        <x:f>IF(M53&lt;&gt;"",M53,F53)</x:f>
        <x:v>華新科</x:v>
      </x:c>
      <x:c r="Q53" s="28" t="str">
        <x:f>IF(N53&lt;&gt;"",N53,G53)</x:f>
        <x:v>上市</x:v>
      </x:c>
      <x:c r="R53" s="28" t="str">
        <x:f>IF(Q53="上市","TW",IF(Q53="上櫃","TWO",""))</x:f>
        <x:v>TW</x:v>
      </x:c>
      <x:c r="S53" s="28" t="str">
        <x:f>IF(OR(O53="",R53=""),"",O53&amp;"."&amp;R53)</x:f>
        <x:v>2492.TW</x:v>
      </x:c>
      <x:c r="T53" s="26" t="str">
        <x:v>是</x:v>
      </x:c>
      <x:c r="U53" s="29" t="str"/>
    </x:row>
    <x:row r="54">
      <x:c r="A54" s="48" t="n">
        <x:v>53</x:v>
      </x:c>
      <x:c r="B54" s="48" t="n">
        <x:v>6</x:v>
      </x:c>
      <x:c r="C54" s="48" t="str">
        <x:v>被動元件／矽晶圓／先進封測</x:v>
      </x:c>
      <x:c r="D54" s="48" t="str">
        <x:v>固定核心</x:v>
      </x:c>
      <x:c r="E54" s="48" t="str">
        <x:v>3026</x:v>
      </x:c>
      <x:c r="F54" s="48" t="str">
        <x:v>禾伸堂</x:v>
      </x:c>
      <x:c r="G54" s="48" t="str">
        <x:v>上市</x:v>
      </x:c>
      <x:c r="H54" s="48" t="str">
        <x:v>TW</x:v>
      </x:c>
      <x:c r="I54" s="48" t="str">
        <x:v>3026.TW</x:v>
      </x:c>
      <x:c r="J54" s="48" t="str">
        <x:v>高階MLCC</x:v>
      </x:c>
      <x:c r="K54" s="48" t="str">
        <x:v>https://www.twse.com.tw/</x:v>
      </x:c>
      <x:c r="L54" s="27" t="str"/>
      <x:c r="M54" s="27" t="str"/>
      <x:c r="N54" s="27" t="str"/>
      <x:c r="O54" s="28" t="str">
        <x:f>IF(L54&lt;&gt;"",L54,E54)</x:f>
        <x:v>3026</x:v>
      </x:c>
      <x:c r="P54" s="28" t="str">
        <x:f>IF(M54&lt;&gt;"",M54,F54)</x:f>
        <x:v>禾伸堂</x:v>
      </x:c>
      <x:c r="Q54" s="28" t="str">
        <x:f>IF(N54&lt;&gt;"",N54,G54)</x:f>
        <x:v>上市</x:v>
      </x:c>
      <x:c r="R54" s="28" t="str">
        <x:f>IF(Q54="上市","TW",IF(Q54="上櫃","TWO",""))</x:f>
        <x:v>TW</x:v>
      </x:c>
      <x:c r="S54" s="28" t="str">
        <x:f>IF(OR(O54="",R54=""),"",O54&amp;"."&amp;R54)</x:f>
        <x:v>3026.TW</x:v>
      </x:c>
      <x:c r="T54" s="26" t="str">
        <x:v>是</x:v>
      </x:c>
      <x:c r="U54" s="29" t="str"/>
    </x:row>
    <x:row r="55">
      <x:c r="A55" s="48" t="n">
        <x:v>54</x:v>
      </x:c>
      <x:c r="B55" s="48" t="n">
        <x:v>6</x:v>
      </x:c>
      <x:c r="C55" s="48" t="str">
        <x:v>被動元件／矽晶圓／先進封測</x:v>
      </x:c>
      <x:c r="D55" s="48" t="str">
        <x:v>固定核心</x:v>
      </x:c>
      <x:c r="E55" s="48" t="str">
        <x:v>6173</x:v>
      </x:c>
      <x:c r="F55" s="48" t="str">
        <x:v>信昌電</x:v>
      </x:c>
      <x:c r="G55" s="48" t="str">
        <x:v>上櫃</x:v>
      </x:c>
      <x:c r="H55" s="48" t="str">
        <x:v>TWO</x:v>
      </x:c>
      <x:c r="I55" s="48" t="str">
        <x:v>6173.TWO</x:v>
      </x:c>
      <x:c r="J55" s="48" t="str">
        <x:v>MLCC</x:v>
      </x:c>
      <x:c r="K55" s="48" t="str">
        <x:v>https://www.tpex.org.tw/</x:v>
      </x:c>
      <x:c r="L55" s="27" t="str"/>
      <x:c r="M55" s="27" t="str"/>
      <x:c r="N55" s="27" t="str"/>
      <x:c r="O55" s="28" t="str">
        <x:f>IF(L55&lt;&gt;"",L55,E55)</x:f>
        <x:v>6173</x:v>
      </x:c>
      <x:c r="P55" s="28" t="str">
        <x:f>IF(M55&lt;&gt;"",M55,F55)</x:f>
        <x:v>信昌電</x:v>
      </x:c>
      <x:c r="Q55" s="28" t="str">
        <x:f>IF(N55&lt;&gt;"",N55,G55)</x:f>
        <x:v>上櫃</x:v>
      </x:c>
      <x:c r="R55" s="28" t="str">
        <x:f>IF(Q55="上市","TW",IF(Q55="上櫃","TWO",""))</x:f>
        <x:v>TWO</x:v>
      </x:c>
      <x:c r="S55" s="28" t="str">
        <x:f>IF(OR(O55="",R55=""),"",O55&amp;"."&amp;R55)</x:f>
        <x:v>6173.TWO</x:v>
      </x:c>
      <x:c r="T55" s="26" t="str">
        <x:v>是</x:v>
      </x:c>
      <x:c r="U55" s="29" t="str"/>
    </x:row>
    <x:row r="56">
      <x:c r="A56" s="48" t="n">
        <x:v>55</x:v>
      </x:c>
      <x:c r="B56" s="48" t="n">
        <x:v>6</x:v>
      </x:c>
      <x:c r="C56" s="48" t="str">
        <x:v>被動元件／矽晶圓／先進封測</x:v>
      </x:c>
      <x:c r="D56" s="48" t="str">
        <x:v>固定核心</x:v>
      </x:c>
      <x:c r="E56" s="48" t="str">
        <x:v>5483</x:v>
      </x:c>
      <x:c r="F56" s="48" t="str">
        <x:v>中美晶</x:v>
      </x:c>
      <x:c r="G56" s="48" t="str">
        <x:v>上櫃</x:v>
      </x:c>
      <x:c r="H56" s="48" t="str">
        <x:v>TWO</x:v>
      </x:c>
      <x:c r="I56" s="48" t="str">
        <x:v>5483.TWO</x:v>
      </x:c>
      <x:c r="J56" s="48" t="str">
        <x:v>矽晶圓／半導體材料</x:v>
      </x:c>
      <x:c r="K56" s="48" t="str">
        <x:v>https://www.tpex.org.tw/</x:v>
      </x:c>
      <x:c r="L56" s="27" t="str"/>
      <x:c r="M56" s="27" t="str"/>
      <x:c r="N56" s="27" t="str"/>
      <x:c r="O56" s="28" t="str">
        <x:f>IF(L56&lt;&gt;"",L56,E56)</x:f>
        <x:v>5483</x:v>
      </x:c>
      <x:c r="P56" s="28" t="str">
        <x:f>IF(M56&lt;&gt;"",M56,F56)</x:f>
        <x:v>中美晶</x:v>
      </x:c>
      <x:c r="Q56" s="28" t="str">
        <x:f>IF(N56&lt;&gt;"",N56,G56)</x:f>
        <x:v>上櫃</x:v>
      </x:c>
      <x:c r="R56" s="28" t="str">
        <x:f>IF(Q56="上市","TW",IF(Q56="上櫃","TWO",""))</x:f>
        <x:v>TWO</x:v>
      </x:c>
      <x:c r="S56" s="28" t="str">
        <x:f>IF(OR(O56="",R56=""),"",O56&amp;"."&amp;R56)</x:f>
        <x:v>5483.TWO</x:v>
      </x:c>
      <x:c r="T56" s="26" t="str">
        <x:v>是</x:v>
      </x:c>
      <x:c r="U56" s="29" t="str"/>
    </x:row>
    <x:row r="57">
      <x:c r="A57" s="48" t="n">
        <x:v>56</x:v>
      </x:c>
      <x:c r="B57" s="48" t="n">
        <x:v>6</x:v>
      </x:c>
      <x:c r="C57" s="48" t="str">
        <x:v>被動元件／矽晶圓／先進封測</x:v>
      </x:c>
      <x:c r="D57" s="48" t="str">
        <x:v>固定核心</x:v>
      </x:c>
      <x:c r="E57" s="48" t="str">
        <x:v>6488</x:v>
      </x:c>
      <x:c r="F57" s="48" t="str">
        <x:v>環球晶</x:v>
      </x:c>
      <x:c r="G57" s="48" t="str">
        <x:v>上櫃</x:v>
      </x:c>
      <x:c r="H57" s="48" t="str">
        <x:v>TWO</x:v>
      </x:c>
      <x:c r="I57" s="48" t="str">
        <x:v>6488.TWO</x:v>
      </x:c>
      <x:c r="J57" s="48" t="str">
        <x:v>半導體矽晶圓</x:v>
      </x:c>
      <x:c r="K57" s="48" t="str">
        <x:v>https://www.tpex.org.tw/</x:v>
      </x:c>
      <x:c r="L57" s="27" t="str"/>
      <x:c r="M57" s="27" t="str"/>
      <x:c r="N57" s="27" t="str"/>
      <x:c r="O57" s="28" t="str">
        <x:f>IF(L57&lt;&gt;"",L57,E57)</x:f>
        <x:v>6488</x:v>
      </x:c>
      <x:c r="P57" s="28" t="str">
        <x:f>IF(M57&lt;&gt;"",M57,F57)</x:f>
        <x:v>環球晶</x:v>
      </x:c>
      <x:c r="Q57" s="28" t="str">
        <x:f>IF(N57&lt;&gt;"",N57,G57)</x:f>
        <x:v>上櫃</x:v>
      </x:c>
      <x:c r="R57" s="28" t="str">
        <x:f>IF(Q57="上市","TW",IF(Q57="上櫃","TWO",""))</x:f>
        <x:v>TWO</x:v>
      </x:c>
      <x:c r="S57" s="28" t="str">
        <x:f>IF(OR(O57="",R57=""),"",O57&amp;"."&amp;R57)</x:f>
        <x:v>6488.TWO</x:v>
      </x:c>
      <x:c r="T57" s="26" t="str">
        <x:v>是</x:v>
      </x:c>
      <x:c r="U57" s="29" t="str"/>
    </x:row>
    <x:row r="58">
      <x:c r="A58" s="48" t="n">
        <x:v>57</x:v>
      </x:c>
      <x:c r="B58" s="48" t="n">
        <x:v>6</x:v>
      </x:c>
      <x:c r="C58" s="48" t="str">
        <x:v>被動元件／矽晶圓／先進封測</x:v>
      </x:c>
      <x:c r="D58" s="48" t="str">
        <x:v>固定核心</x:v>
      </x:c>
      <x:c r="E58" s="48" t="str">
        <x:v>2449</x:v>
      </x:c>
      <x:c r="F58" s="48" t="str">
        <x:v>京元電子</x:v>
      </x:c>
      <x:c r="G58" s="48" t="str">
        <x:v>上市</x:v>
      </x:c>
      <x:c r="H58" s="48" t="str">
        <x:v>TW</x:v>
      </x:c>
      <x:c r="I58" s="48" t="str">
        <x:v>2449.TW</x:v>
      </x:c>
      <x:c r="J58" s="48" t="str">
        <x:v>AI／HPC晶片測試</x:v>
      </x:c>
      <x:c r="K58" s="48" t="str">
        <x:v>https://www.twse.com.tw/</x:v>
      </x:c>
      <x:c r="L58" s="27" t="str"/>
      <x:c r="M58" s="27" t="str"/>
      <x:c r="N58" s="27" t="str"/>
      <x:c r="O58" s="28" t="str">
        <x:f>IF(L58&lt;&gt;"",L58,E58)</x:f>
        <x:v>2449</x:v>
      </x:c>
      <x:c r="P58" s="28" t="str">
        <x:f>IF(M58&lt;&gt;"",M58,F58)</x:f>
        <x:v>京元電子</x:v>
      </x:c>
      <x:c r="Q58" s="28" t="str">
        <x:f>IF(N58&lt;&gt;"",N58,G58)</x:f>
        <x:v>上市</x:v>
      </x:c>
      <x:c r="R58" s="28" t="str">
        <x:f>IF(Q58="上市","TW",IF(Q58="上櫃","TWO",""))</x:f>
        <x:v>TW</x:v>
      </x:c>
      <x:c r="S58" s="28" t="str">
        <x:f>IF(OR(O58="",R58=""),"",O58&amp;"."&amp;R58)</x:f>
        <x:v>2449.TW</x:v>
      </x:c>
      <x:c r="T58" s="26" t="str">
        <x:v>是</x:v>
      </x:c>
      <x:c r="U58" s="29" t="str"/>
    </x:row>
    <x:row r="59">
      <x:c r="A59" s="48" t="n">
        <x:v>58</x:v>
      </x:c>
      <x:c r="B59" s="48" t="n">
        <x:v>6</x:v>
      </x:c>
      <x:c r="C59" s="48" t="str">
        <x:v>被動元件／矽晶圓／先進封測</x:v>
      </x:c>
      <x:c r="D59" s="48" t="str">
        <x:v>固定核心</x:v>
      </x:c>
      <x:c r="E59" s="48" t="str">
        <x:v>3711</x:v>
      </x:c>
      <x:c r="F59" s="48" t="str">
        <x:v>日月光投控</x:v>
      </x:c>
      <x:c r="G59" s="48" t="str">
        <x:v>上市</x:v>
      </x:c>
      <x:c r="H59" s="48" t="str">
        <x:v>TW</x:v>
      </x:c>
      <x:c r="I59" s="48" t="str">
        <x:v>3711.TW</x:v>
      </x:c>
      <x:c r="J59" s="48" t="str">
        <x:v>先進封裝／測試</x:v>
      </x:c>
      <x:c r="K59" s="48" t="str">
        <x:v>https://www.twse.com.tw/</x:v>
      </x:c>
      <x:c r="L59" s="27" t="str"/>
      <x:c r="M59" s="27" t="str"/>
      <x:c r="N59" s="27" t="str"/>
      <x:c r="O59" s="28" t="str">
        <x:f>IF(L59&lt;&gt;"",L59,E59)</x:f>
        <x:v>3711</x:v>
      </x:c>
      <x:c r="P59" s="28" t="str">
        <x:f>IF(M59&lt;&gt;"",M59,F59)</x:f>
        <x:v>日月光投控</x:v>
      </x:c>
      <x:c r="Q59" s="28" t="str">
        <x:f>IF(N59&lt;&gt;"",N59,G59)</x:f>
        <x:v>上市</x:v>
      </x:c>
      <x:c r="R59" s="28" t="str">
        <x:f>IF(Q59="上市","TW",IF(Q59="上櫃","TWO",""))</x:f>
        <x:v>TW</x:v>
      </x:c>
      <x:c r="S59" s="28" t="str">
        <x:f>IF(OR(O59="",R59=""),"",O59&amp;"."&amp;R59)</x:f>
        <x:v>3711.TW</x:v>
      </x:c>
      <x:c r="T59" s="26" t="str">
        <x:v>是</x:v>
      </x:c>
      <x:c r="U59" s="29" t="str"/>
    </x:row>
    <x:row r="60">
      <x:c r="A60" s="48" t="n">
        <x:v>59</x:v>
      </x:c>
      <x:c r="B60" s="48" t="n">
        <x:v>6</x:v>
      </x:c>
      <x:c r="C60" s="48" t="str">
        <x:v>被動元件／矽晶圓／先進封測</x:v>
      </x:c>
      <x:c r="D60" s="48" t="str">
        <x:v>固定核心</x:v>
      </x:c>
      <x:c r="E60" s="48" t="str">
        <x:v>6223</x:v>
      </x:c>
      <x:c r="F60" s="48" t="str">
        <x:v>旺矽</x:v>
      </x:c>
      <x:c r="G60" s="48" t="str">
        <x:v>上櫃</x:v>
      </x:c>
      <x:c r="H60" s="48" t="str">
        <x:v>TWO</x:v>
      </x:c>
      <x:c r="I60" s="48" t="str">
        <x:v>6223.TWO</x:v>
      </x:c>
      <x:c r="J60" s="48" t="str">
        <x:v>探針卡／測試</x:v>
      </x:c>
      <x:c r="K60" s="48" t="str">
        <x:v>https://www.tpex.org.tw/</x:v>
      </x:c>
      <x:c r="L60" s="27" t="str"/>
      <x:c r="M60" s="27" t="str"/>
      <x:c r="N60" s="27" t="str"/>
      <x:c r="O60" s="28" t="str">
        <x:f>IF(L60&lt;&gt;"",L60,E60)</x:f>
        <x:v>6223</x:v>
      </x:c>
      <x:c r="P60" s="28" t="str">
        <x:f>IF(M60&lt;&gt;"",M60,F60)</x:f>
        <x:v>旺矽</x:v>
      </x:c>
      <x:c r="Q60" s="28" t="str">
        <x:f>IF(N60&lt;&gt;"",N60,G60)</x:f>
        <x:v>上櫃</x:v>
      </x:c>
      <x:c r="R60" s="28" t="str">
        <x:f>IF(Q60="上市","TW",IF(Q60="上櫃","TWO",""))</x:f>
        <x:v>TWO</x:v>
      </x:c>
      <x:c r="S60" s="28" t="str">
        <x:f>IF(OR(O60="",R60=""),"",O60&amp;"."&amp;R60)</x:f>
        <x:v>6223.TWO</x:v>
      </x:c>
      <x:c r="T60" s="26" t="str">
        <x:v>是</x:v>
      </x:c>
      <x:c r="U60" s="29" t="str"/>
    </x:row>
    <x:row r="61">
      <x:c r="A61" s="48" t="n">
        <x:v>60</x:v>
      </x:c>
      <x:c r="B61" s="48" t="n">
        <x:v>6</x:v>
      </x:c>
      <x:c r="C61" s="48" t="str">
        <x:v>被動元件／矽晶圓／先進封測</x:v>
      </x:c>
      <x:c r="D61" s="48" t="str">
        <x:v>固定核心</x:v>
      </x:c>
      <x:c r="E61" s="48" t="str">
        <x:v>6515</x:v>
      </x:c>
      <x:c r="F61" s="48" t="str">
        <x:v>穎崴</x:v>
      </x:c>
      <x:c r="G61" s="48" t="str">
        <x:v>上市</x:v>
      </x:c>
      <x:c r="H61" s="48" t="str">
        <x:v>TW</x:v>
      </x:c>
      <x:c r="I61" s="48" t="str">
        <x:v>6515.TW</x:v>
      </x:c>
      <x:c r="J61" s="48" t="str">
        <x:v>測試介面</x:v>
      </x:c>
      <x:c r="K61" s="48" t="str">
        <x:v>https://www.twse.com.tw/</x:v>
      </x:c>
      <x:c r="L61" s="27" t="str"/>
      <x:c r="M61" s="27" t="str"/>
      <x:c r="N61" s="27" t="str"/>
      <x:c r="O61" s="28" t="str">
        <x:f>IF(L61&lt;&gt;"",L61,E61)</x:f>
        <x:v>6515</x:v>
      </x:c>
      <x:c r="P61" s="28" t="str">
        <x:f>IF(M61&lt;&gt;"",M61,F61)</x:f>
        <x:v>穎崴</x:v>
      </x:c>
      <x:c r="Q61" s="28" t="str">
        <x:f>IF(N61&lt;&gt;"",N61,G61)</x:f>
        <x:v>上市</x:v>
      </x:c>
      <x:c r="R61" s="28" t="str">
        <x:f>IF(Q61="上市","TW",IF(Q61="上櫃","TWO",""))</x:f>
        <x:v>TW</x:v>
      </x:c>
      <x:c r="S61" s="28" t="str">
        <x:f>IF(OR(O61="",R61=""),"",O61&amp;"."&amp;R61)</x:f>
        <x:v>6515.TW</x:v>
      </x:c>
      <x:c r="T61" s="26" t="str">
        <x:v>是</x:v>
      </x:c>
      <x:c r="U61" s="29" t="str"/>
    </x:row>
    <x:row r="62">
      <x:c r="A62" s="50" t="n">
        <x:v>61</x:v>
      </x:c>
      <x:c r="B62" s="50" t="n">
        <x:v>7</x:v>
      </x:c>
      <x:c r="C62" s="50" t="str">
        <x:v>DAVID自選A／設備測試材料</x:v>
      </x:c>
      <x:c r="D62" s="50" t="str">
        <x:v>DAVID自選</x:v>
      </x:c>
      <x:c r="E62" s="50" t="str">
        <x:v>7769</x:v>
      </x:c>
      <x:c r="F62" s="50" t="str">
        <x:v>鴻勁</x:v>
      </x:c>
      <x:c r="G62" s="50" t="str">
        <x:v>上市</x:v>
      </x:c>
      <x:c r="H62" s="50" t="str">
        <x:v>TW</x:v>
      </x:c>
      <x:c r="I62" s="50" t="str">
        <x:v>7769.TW</x:v>
      </x:c>
      <x:c r="J62" s="50" t="str">
        <x:v>半導體測試設備</x:v>
      </x:c>
      <x:c r="K62" s="50" t="str">
        <x:v>https://www.twse.com.tw/</x:v>
      </x:c>
      <x:c r="L62" s="27" t="str"/>
      <x:c r="M62" s="27" t="str"/>
      <x:c r="N62" s="27" t="str"/>
      <x:c r="O62" s="28" t="str">
        <x:f>IF(L62&lt;&gt;"",L62,E62)</x:f>
        <x:v>7769</x:v>
      </x:c>
      <x:c r="P62" s="28" t="str">
        <x:f>IF(M62&lt;&gt;"",M62,F62)</x:f>
        <x:v>鴻勁</x:v>
      </x:c>
      <x:c r="Q62" s="28" t="str">
        <x:f>IF(N62&lt;&gt;"",N62,G62)</x:f>
        <x:v>上市</x:v>
      </x:c>
      <x:c r="R62" s="28" t="str">
        <x:f>IF(Q62="上市","TW",IF(Q62="上櫃","TWO",""))</x:f>
        <x:v>TW</x:v>
      </x:c>
      <x:c r="S62" s="28" t="str">
        <x:f>IF(OR(O62="",R62=""),"",O62&amp;"."&amp;R62)</x:f>
        <x:v>7769.TW</x:v>
      </x:c>
      <x:c r="T62" s="26" t="str">
        <x:v>是</x:v>
      </x:c>
      <x:c r="U62" s="29" t="str"/>
    </x:row>
    <x:row r="63">
      <x:c r="A63" s="50" t="n">
        <x:v>62</x:v>
      </x:c>
      <x:c r="B63" s="50" t="n">
        <x:v>7</x:v>
      </x:c>
      <x:c r="C63" s="50" t="str">
        <x:v>DAVID自選A／設備測試材料</x:v>
      </x:c>
      <x:c r="D63" s="50" t="str">
        <x:v>DAVID自選</x:v>
      </x:c>
      <x:c r="E63" s="50" t="str">
        <x:v>6640</x:v>
      </x:c>
      <x:c r="F63" s="50" t="str">
        <x:v>均華</x:v>
      </x:c>
      <x:c r="G63" s="50" t="str">
        <x:v>上櫃</x:v>
      </x:c>
      <x:c r="H63" s="50" t="str">
        <x:v>TWO</x:v>
      </x:c>
      <x:c r="I63" s="50" t="str">
        <x:v>6640.TWO</x:v>
      </x:c>
      <x:c r="J63" s="50" t="str">
        <x:v>先進封裝設備</x:v>
      </x:c>
      <x:c r="K63" s="50" t="str">
        <x:v>https://www.tpex.org.tw/</x:v>
      </x:c>
      <x:c r="L63" s="27" t="str"/>
      <x:c r="M63" s="27" t="str"/>
      <x:c r="N63" s="27" t="str"/>
      <x:c r="O63" s="28" t="str">
        <x:f>IF(L63&lt;&gt;"",L63,E63)</x:f>
        <x:v>6640</x:v>
      </x:c>
      <x:c r="P63" s="28" t="str">
        <x:f>IF(M63&lt;&gt;"",M63,F63)</x:f>
        <x:v>均華</x:v>
      </x:c>
      <x:c r="Q63" s="28" t="str">
        <x:f>IF(N63&lt;&gt;"",N63,G63)</x:f>
        <x:v>上櫃</x:v>
      </x:c>
      <x:c r="R63" s="28" t="str">
        <x:f>IF(Q63="上市","TW",IF(Q63="上櫃","TWO",""))</x:f>
        <x:v>TWO</x:v>
      </x:c>
      <x:c r="S63" s="28" t="str">
        <x:f>IF(OR(O63="",R63=""),"",O63&amp;"."&amp;R63)</x:f>
        <x:v>6640.TWO</x:v>
      </x:c>
      <x:c r="T63" s="26" t="str">
        <x:v>是</x:v>
      </x:c>
      <x:c r="U63" s="29" t="str"/>
    </x:row>
    <x:row r="64">
      <x:c r="A64" s="50" t="n">
        <x:v>63</x:v>
      </x:c>
      <x:c r="B64" s="50" t="n">
        <x:v>7</x:v>
      </x:c>
      <x:c r="C64" s="50" t="str">
        <x:v>DAVID自選A／設備測試材料</x:v>
      </x:c>
      <x:c r="D64" s="50" t="str">
        <x:v>DAVID自選</x:v>
      </x:c>
      <x:c r="E64" s="50" t="str">
        <x:v>2467</x:v>
      </x:c>
      <x:c r="F64" s="50" t="str">
        <x:v>志聖</x:v>
      </x:c>
      <x:c r="G64" s="50" t="str">
        <x:v>上市</x:v>
      </x:c>
      <x:c r="H64" s="50" t="str">
        <x:v>TW</x:v>
      </x:c>
      <x:c r="I64" s="50" t="str">
        <x:v>2467.TW</x:v>
      </x:c>
      <x:c r="J64" s="50" t="str">
        <x:v>先進封裝／製程設備</x:v>
      </x:c>
      <x:c r="K64" s="50" t="str">
        <x:v>https://www.twse.com.tw/</x:v>
      </x:c>
      <x:c r="L64" s="27" t="str"/>
      <x:c r="M64" s="27" t="str"/>
      <x:c r="N64" s="27" t="str"/>
      <x:c r="O64" s="28" t="str">
        <x:f>IF(L64&lt;&gt;"",L64,E64)</x:f>
        <x:v>2467</x:v>
      </x:c>
      <x:c r="P64" s="28" t="str">
        <x:f>IF(M64&lt;&gt;"",M64,F64)</x:f>
        <x:v>志聖</x:v>
      </x:c>
      <x:c r="Q64" s="28" t="str">
        <x:f>IF(N64&lt;&gt;"",N64,G64)</x:f>
        <x:v>上市</x:v>
      </x:c>
      <x:c r="R64" s="28" t="str">
        <x:f>IF(Q64="上市","TW",IF(Q64="上櫃","TWO",""))</x:f>
        <x:v>TW</x:v>
      </x:c>
      <x:c r="S64" s="28" t="str">
        <x:f>IF(OR(O64="",R64=""),"",O64&amp;"."&amp;R64)</x:f>
        <x:v>2467.TW</x:v>
      </x:c>
      <x:c r="T64" s="26" t="str">
        <x:v>是</x:v>
      </x:c>
      <x:c r="U64" s="29" t="str"/>
    </x:row>
    <x:row r="65">
      <x:c r="A65" s="50" t="n">
        <x:v>64</x:v>
      </x:c>
      <x:c r="B65" s="50" t="n">
        <x:v>7</x:v>
      </x:c>
      <x:c r="C65" s="50" t="str">
        <x:v>DAVID自選A／設備測試材料</x:v>
      </x:c>
      <x:c r="D65" s="50" t="str">
        <x:v>DAVID自選</x:v>
      </x:c>
      <x:c r="E65" s="50" t="str">
        <x:v>3131</x:v>
      </x:c>
      <x:c r="F65" s="50" t="str">
        <x:v>弘塑</x:v>
      </x:c>
      <x:c r="G65" s="50" t="str">
        <x:v>上櫃</x:v>
      </x:c>
      <x:c r="H65" s="50" t="str">
        <x:v>TWO</x:v>
      </x:c>
      <x:c r="I65" s="50" t="str">
        <x:v>3131.TWO</x:v>
      </x:c>
      <x:c r="J65" s="50" t="str">
        <x:v>半導體濕製程設備</x:v>
      </x:c>
      <x:c r="K65" s="50" t="str">
        <x:v>https://www.tpex.org.tw/</x:v>
      </x:c>
      <x:c r="L65" s="27" t="str"/>
      <x:c r="M65" s="27" t="str"/>
      <x:c r="N65" s="27" t="str"/>
      <x:c r="O65" s="28" t="str">
        <x:f>IF(L65&lt;&gt;"",L65,E65)</x:f>
        <x:v>3131</x:v>
      </x:c>
      <x:c r="P65" s="28" t="str">
        <x:f>IF(M65&lt;&gt;"",M65,F65)</x:f>
        <x:v>弘塑</x:v>
      </x:c>
      <x:c r="Q65" s="28" t="str">
        <x:f>IF(N65&lt;&gt;"",N65,G65)</x:f>
        <x:v>上櫃</x:v>
      </x:c>
      <x:c r="R65" s="28" t="str">
        <x:f>IF(Q65="上市","TW",IF(Q65="上櫃","TWO",""))</x:f>
        <x:v>TWO</x:v>
      </x:c>
      <x:c r="S65" s="28" t="str">
        <x:f>IF(OR(O65="",R65=""),"",O65&amp;"."&amp;R65)</x:f>
        <x:v>3131.TWO</x:v>
      </x:c>
      <x:c r="T65" s="26" t="str">
        <x:v>是</x:v>
      </x:c>
      <x:c r="U65" s="29" t="str"/>
    </x:row>
    <x:row r="66">
      <x:c r="A66" s="50" t="n">
        <x:v>65</x:v>
      </x:c>
      <x:c r="B66" s="50" t="n">
        <x:v>7</x:v>
      </x:c>
      <x:c r="C66" s="50" t="str">
        <x:v>DAVID自選A／設備測試材料</x:v>
      </x:c>
      <x:c r="D66" s="50" t="str">
        <x:v>DAVID自選</x:v>
      </x:c>
      <x:c r="E66" s="50" t="str">
        <x:v>6510</x:v>
      </x:c>
      <x:c r="F66" s="50" t="str">
        <x:v>精測</x:v>
      </x:c>
      <x:c r="G66" s="50" t="str">
        <x:v>上櫃</x:v>
      </x:c>
      <x:c r="H66" s="50" t="str">
        <x:v>TWO</x:v>
      </x:c>
      <x:c r="I66" s="50" t="str">
        <x:v>6510.TWO</x:v>
      </x:c>
      <x:c r="J66" s="50" t="str">
        <x:v>測試介面</x:v>
      </x:c>
      <x:c r="K66" s="50" t="str">
        <x:v>https://www.tpex.org.tw/</x:v>
      </x:c>
      <x:c r="L66" s="27" t="str"/>
      <x:c r="M66" s="27" t="str"/>
      <x:c r="N66" s="27" t="str"/>
      <x:c r="O66" s="28" t="str">
        <x:f>IF(L66&lt;&gt;"",L66,E66)</x:f>
        <x:v>6510</x:v>
      </x:c>
      <x:c r="P66" s="28" t="str">
        <x:f>IF(M66&lt;&gt;"",M66,F66)</x:f>
        <x:v>精測</x:v>
      </x:c>
      <x:c r="Q66" s="28" t="str">
        <x:f>IF(N66&lt;&gt;"",N66,G66)</x:f>
        <x:v>上櫃</x:v>
      </x:c>
      <x:c r="R66" s="28" t="str">
        <x:f>IF(Q66="上市","TW",IF(Q66="上櫃","TWO",""))</x:f>
        <x:v>TWO</x:v>
      </x:c>
      <x:c r="S66" s="28" t="str">
        <x:f>IF(OR(O66="",R66=""),"",O66&amp;"."&amp;R66)</x:f>
        <x:v>6510.TWO</x:v>
      </x:c>
      <x:c r="T66" s="26" t="str">
        <x:v>是</x:v>
      </x:c>
      <x:c r="U66" s="29" t="str"/>
    </x:row>
    <x:row r="67">
      <x:c r="A67" s="50" t="n">
        <x:v>66</x:v>
      </x:c>
      <x:c r="B67" s="50" t="n">
        <x:v>7</x:v>
      </x:c>
      <x:c r="C67" s="50" t="str">
        <x:v>DAVID自選A／設備測試材料</x:v>
      </x:c>
      <x:c r="D67" s="50" t="str">
        <x:v>DAVID自選</x:v>
      </x:c>
      <x:c r="E67" s="50" t="str">
        <x:v>1560</x:v>
      </x:c>
      <x:c r="F67" s="50" t="str">
        <x:v>中砂</x:v>
      </x:c>
      <x:c r="G67" s="50" t="str">
        <x:v>上市</x:v>
      </x:c>
      <x:c r="H67" s="50" t="str">
        <x:v>TW</x:v>
      </x:c>
      <x:c r="I67" s="50" t="str">
        <x:v>1560.TW</x:v>
      </x:c>
      <x:c r="J67" s="50" t="str">
        <x:v>半導體耗材／再生晶圓</x:v>
      </x:c>
      <x:c r="K67" s="50" t="str">
        <x:v>https://www.twse.com.tw/</x:v>
      </x:c>
      <x:c r="L67" s="27" t="str"/>
      <x:c r="M67" s="27" t="str"/>
      <x:c r="N67" s="27" t="str"/>
      <x:c r="O67" s="28" t="str">
        <x:f>IF(L67&lt;&gt;"",L67,E67)</x:f>
        <x:v>1560</x:v>
      </x:c>
      <x:c r="P67" s="28" t="str">
        <x:f>IF(M67&lt;&gt;"",M67,F67)</x:f>
        <x:v>中砂</x:v>
      </x:c>
      <x:c r="Q67" s="28" t="str">
        <x:f>IF(N67&lt;&gt;"",N67,G67)</x:f>
        <x:v>上市</x:v>
      </x:c>
      <x:c r="R67" s="28" t="str">
        <x:f>IF(Q67="上市","TW",IF(Q67="上櫃","TWO",""))</x:f>
        <x:v>TW</x:v>
      </x:c>
      <x:c r="S67" s="28" t="str">
        <x:f>IF(OR(O67="",R67=""),"",O67&amp;"."&amp;R67)</x:f>
        <x:v>1560.TW</x:v>
      </x:c>
      <x:c r="T67" s="26" t="str">
        <x:v>是</x:v>
      </x:c>
      <x:c r="U67" s="29" t="str"/>
    </x:row>
    <x:row r="68">
      <x:c r="A68" s="50" t="n">
        <x:v>67</x:v>
      </x:c>
      <x:c r="B68" s="50" t="n">
        <x:v>7</x:v>
      </x:c>
      <x:c r="C68" s="50" t="str">
        <x:v>DAVID自選A／設備測試材料</x:v>
      </x:c>
      <x:c r="D68" s="50" t="str">
        <x:v>DAVID自選</x:v>
      </x:c>
      <x:c r="E68" s="50" t="str">
        <x:v>5269</x:v>
      </x:c>
      <x:c r="F68" s="50" t="str">
        <x:v>祥碩</x:v>
      </x:c>
      <x:c r="G68" s="50" t="str">
        <x:v>上市</x:v>
      </x:c>
      <x:c r="H68" s="50" t="str">
        <x:v>TW</x:v>
      </x:c>
      <x:c r="I68" s="50" t="str">
        <x:v>5269.TW</x:v>
      </x:c>
      <x:c r="J68" s="50" t="str">
        <x:v>高速傳輸IC</x:v>
      </x:c>
      <x:c r="K68" s="50" t="str">
        <x:v>https://www.twse.com.tw/</x:v>
      </x:c>
      <x:c r="L68" s="27" t="str"/>
      <x:c r="M68" s="27" t="str"/>
      <x:c r="N68" s="27" t="str"/>
      <x:c r="O68" s="28" t="str">
        <x:f>IF(L68&lt;&gt;"",L68,E68)</x:f>
        <x:v>5269</x:v>
      </x:c>
      <x:c r="P68" s="28" t="str">
        <x:f>IF(M68&lt;&gt;"",M68,F68)</x:f>
        <x:v>祥碩</x:v>
      </x:c>
      <x:c r="Q68" s="28" t="str">
        <x:f>IF(N68&lt;&gt;"",N68,G68)</x:f>
        <x:v>上市</x:v>
      </x:c>
      <x:c r="R68" s="28" t="str">
        <x:f>IF(Q68="上市","TW",IF(Q68="上櫃","TWO",""))</x:f>
        <x:v>TW</x:v>
      </x:c>
      <x:c r="S68" s="28" t="str">
        <x:f>IF(OR(O68="",R68=""),"",O68&amp;"."&amp;R68)</x:f>
        <x:v>5269.TW</x:v>
      </x:c>
      <x:c r="T68" s="26" t="str">
        <x:v>是</x:v>
      </x:c>
      <x:c r="U68" s="29" t="str"/>
    </x:row>
    <x:row r="69">
      <x:c r="A69" s="50" t="n">
        <x:v>68</x:v>
      </x:c>
      <x:c r="B69" s="50" t="n">
        <x:v>7</x:v>
      </x:c>
      <x:c r="C69" s="50" t="str">
        <x:v>DAVID自選A／設備測試材料</x:v>
      </x:c>
      <x:c r="D69" s="50" t="str">
        <x:v>DAVID自選</x:v>
      </x:c>
      <x:c r="E69" s="50" t="str">
        <x:v>6187</x:v>
      </x:c>
      <x:c r="F69" s="50" t="str">
        <x:v>萬潤</x:v>
      </x:c>
      <x:c r="G69" s="50" t="str">
        <x:v>上櫃</x:v>
      </x:c>
      <x:c r="H69" s="50" t="str">
        <x:v>TWO</x:v>
      </x:c>
      <x:c r="I69" s="50" t="str">
        <x:v>6187.TWO</x:v>
      </x:c>
      <x:c r="J69" s="50" t="str">
        <x:v>先進封裝設備</x:v>
      </x:c>
      <x:c r="K69" s="50" t="str">
        <x:v>https://www.tpex.org.tw/</x:v>
      </x:c>
      <x:c r="L69" s="27" t="str"/>
      <x:c r="M69" s="27" t="str"/>
      <x:c r="N69" s="27" t="str"/>
      <x:c r="O69" s="28" t="str">
        <x:f>IF(L69&lt;&gt;"",L69,E69)</x:f>
        <x:v>6187</x:v>
      </x:c>
      <x:c r="P69" s="28" t="str">
        <x:f>IF(M69&lt;&gt;"",M69,F69)</x:f>
        <x:v>萬潤</x:v>
      </x:c>
      <x:c r="Q69" s="28" t="str">
        <x:f>IF(N69&lt;&gt;"",N69,G69)</x:f>
        <x:v>上櫃</x:v>
      </x:c>
      <x:c r="R69" s="28" t="str">
        <x:f>IF(Q69="上市","TW",IF(Q69="上櫃","TWO",""))</x:f>
        <x:v>TWO</x:v>
      </x:c>
      <x:c r="S69" s="28" t="str">
        <x:f>IF(OR(O69="",R69=""),"",O69&amp;"."&amp;R69)</x:f>
        <x:v>6187.TWO</x:v>
      </x:c>
      <x:c r="T69" s="26" t="str">
        <x:v>是</x:v>
      </x:c>
      <x:c r="U69" s="29" t="str"/>
    </x:row>
    <x:row r="70">
      <x:c r="A70" s="50" t="n">
        <x:v>69</x:v>
      </x:c>
      <x:c r="B70" s="50" t="n">
        <x:v>7</x:v>
      </x:c>
      <x:c r="C70" s="50" t="str">
        <x:v>DAVID自選A／設備測試材料</x:v>
      </x:c>
      <x:c r="D70" s="50" t="str">
        <x:v>DAVID自選</x:v>
      </x:c>
      <x:c r="E70" s="50" t="str">
        <x:v>6271</x:v>
      </x:c>
      <x:c r="F70" s="50" t="str">
        <x:v>同欣電</x:v>
      </x:c>
      <x:c r="G70" s="50" t="str">
        <x:v>上市</x:v>
      </x:c>
      <x:c r="H70" s="50" t="str">
        <x:v>TW</x:v>
      </x:c>
      <x:c r="I70" s="50" t="str">
        <x:v>6271.TW</x:v>
      </x:c>
      <x:c r="J70" s="50" t="str">
        <x:v>封裝模組</x:v>
      </x:c>
      <x:c r="K70" s="50" t="str">
        <x:v>https://www.twse.com.tw/</x:v>
      </x:c>
      <x:c r="L70" s="27" t="str"/>
      <x:c r="M70" s="27" t="str"/>
      <x:c r="N70" s="27" t="str"/>
      <x:c r="O70" s="28" t="str">
        <x:f>IF(L70&lt;&gt;"",L70,E70)</x:f>
        <x:v>6271</x:v>
      </x:c>
      <x:c r="P70" s="28" t="str">
        <x:f>IF(M70&lt;&gt;"",M70,F70)</x:f>
        <x:v>同欣電</x:v>
      </x:c>
      <x:c r="Q70" s="28" t="str">
        <x:f>IF(N70&lt;&gt;"",N70,G70)</x:f>
        <x:v>上市</x:v>
      </x:c>
      <x:c r="R70" s="28" t="str">
        <x:f>IF(Q70="上市","TW",IF(Q70="上櫃","TWO",""))</x:f>
        <x:v>TW</x:v>
      </x:c>
      <x:c r="S70" s="28" t="str">
        <x:f>IF(OR(O70="",R70=""),"",O70&amp;"."&amp;R70)</x:f>
        <x:v>6271.TW</x:v>
      </x:c>
      <x:c r="T70" s="26" t="str">
        <x:v>是</x:v>
      </x:c>
      <x:c r="U70" s="29" t="str"/>
    </x:row>
    <x:row r="71">
      <x:c r="A71" s="50" t="n">
        <x:v>70</x:v>
      </x:c>
      <x:c r="B71" s="50" t="n">
        <x:v>7</x:v>
      </x:c>
      <x:c r="C71" s="50" t="str">
        <x:v>DAVID自選A／設備測試材料</x:v>
      </x:c>
      <x:c r="D71" s="50" t="str">
        <x:v>DAVID自選</x:v>
      </x:c>
      <x:c r="E71" s="50" t="str">
        <x:v>3034</x:v>
      </x:c>
      <x:c r="F71" s="50" t="str">
        <x:v>聯詠</x:v>
      </x:c>
      <x:c r="G71" s="50" t="str">
        <x:v>上市</x:v>
      </x:c>
      <x:c r="H71" s="50" t="str">
        <x:v>TW</x:v>
      </x:c>
      <x:c r="I71" s="50" t="str">
        <x:v>3034.TW</x:v>
      </x:c>
      <x:c r="J71" s="50" t="str">
        <x:v>IC設計</x:v>
      </x:c>
      <x:c r="K71" s="50" t="str">
        <x:v>https://www.twse.com.tw/</x:v>
      </x:c>
      <x:c r="L71" s="27" t="str"/>
      <x:c r="M71" s="27" t="str"/>
      <x:c r="N71" s="27" t="str"/>
      <x:c r="O71" s="28" t="str">
        <x:f>IF(L71&lt;&gt;"",L71,E71)</x:f>
        <x:v>3034</x:v>
      </x:c>
      <x:c r="P71" s="28" t="str">
        <x:f>IF(M71&lt;&gt;"",M71,F71)</x:f>
        <x:v>聯詠</x:v>
      </x:c>
      <x:c r="Q71" s="28" t="str">
        <x:f>IF(N71&lt;&gt;"",N71,G71)</x:f>
        <x:v>上市</x:v>
      </x:c>
      <x:c r="R71" s="28" t="str">
        <x:f>IF(Q71="上市","TW",IF(Q71="上櫃","TWO",""))</x:f>
        <x:v>TW</x:v>
      </x:c>
      <x:c r="S71" s="28" t="str">
        <x:f>IF(OR(O71="",R71=""),"",O71&amp;"."&amp;R71)</x:f>
        <x:v>3034.TW</x:v>
      </x:c>
      <x:c r="T71" s="26" t="str">
        <x:v>是</x:v>
      </x:c>
      <x:c r="U71" s="29" t="str"/>
    </x:row>
    <x:row r="72">
      <x:c r="A72" s="52" t="n">
        <x:v>71</x:v>
      </x:c>
      <x:c r="B72" s="52" t="n">
        <x:v>8</x:v>
      </x:c>
      <x:c r="C72" s="52" t="str">
        <x:v>DAVID自選B／輪動與機器人</x:v>
      </x:c>
      <x:c r="D72" s="52" t="str">
        <x:v>DAVID自選</x:v>
      </x:c>
      <x:c r="E72" s="52" t="str">
        <x:v>3008</x:v>
      </x:c>
      <x:c r="F72" s="52" t="str">
        <x:v>大立光</x:v>
      </x:c>
      <x:c r="G72" s="52" t="str">
        <x:v>上市</x:v>
      </x:c>
      <x:c r="H72" s="52" t="str">
        <x:v>TW</x:v>
      </x:c>
      <x:c r="I72" s="52" t="str">
        <x:v>3008.TW</x:v>
      </x:c>
      <x:c r="J72" s="52" t="str">
        <x:v>光學</x:v>
      </x:c>
      <x:c r="K72" s="52" t="str">
        <x:v>https://www.twse.com.tw/</x:v>
      </x:c>
      <x:c r="L72" s="27" t="str"/>
      <x:c r="M72" s="27" t="str"/>
      <x:c r="N72" s="27" t="str"/>
      <x:c r="O72" s="28" t="str">
        <x:f>IF(L72&lt;&gt;"",L72,E72)</x:f>
        <x:v>3008</x:v>
      </x:c>
      <x:c r="P72" s="28" t="str">
        <x:f>IF(M72&lt;&gt;"",M72,F72)</x:f>
        <x:v>大立光</x:v>
      </x:c>
      <x:c r="Q72" s="28" t="str">
        <x:f>IF(N72&lt;&gt;"",N72,G72)</x:f>
        <x:v>上市</x:v>
      </x:c>
      <x:c r="R72" s="28" t="str">
        <x:f>IF(Q72="上市","TW",IF(Q72="上櫃","TWO",""))</x:f>
        <x:v>TW</x:v>
      </x:c>
      <x:c r="S72" s="28" t="str">
        <x:f>IF(OR(O72="",R72=""),"",O72&amp;"."&amp;R72)</x:f>
        <x:v>3008.TW</x:v>
      </x:c>
      <x:c r="T72" s="26" t="str">
        <x:v>是</x:v>
      </x:c>
      <x:c r="U72" s="29" t="str"/>
    </x:row>
    <x:row r="73">
      <x:c r="A73" s="52" t="n">
        <x:v>72</x:v>
      </x:c>
      <x:c r="B73" s="52" t="n">
        <x:v>8</x:v>
      </x:c>
      <x:c r="C73" s="52" t="str">
        <x:v>DAVID自選B／輪動與機器人</x:v>
      </x:c>
      <x:c r="D73" s="52" t="str">
        <x:v>DAVID自選</x:v>
      </x:c>
      <x:c r="E73" s="52" t="str">
        <x:v>3665</x:v>
      </x:c>
      <x:c r="F73" s="52" t="str">
        <x:v>貿聯-KY</x:v>
      </x:c>
      <x:c r="G73" s="52" t="str">
        <x:v>上市</x:v>
      </x:c>
      <x:c r="H73" s="52" t="str">
        <x:v>TW</x:v>
      </x:c>
      <x:c r="I73" s="52" t="str">
        <x:v>3665.TW</x:v>
      </x:c>
      <x:c r="J73" s="52" t="str">
        <x:v>AI高速連接</x:v>
      </x:c>
      <x:c r="K73" s="52" t="str">
        <x:v>https://www.twse.com.tw/</x:v>
      </x:c>
      <x:c r="L73" s="27" t="str"/>
      <x:c r="M73" s="27" t="str"/>
      <x:c r="N73" s="27" t="str"/>
      <x:c r="O73" s="28" t="str">
        <x:f>IF(L73&lt;&gt;"",L73,E73)</x:f>
        <x:v>3665</x:v>
      </x:c>
      <x:c r="P73" s="28" t="str">
        <x:f>IF(M73&lt;&gt;"",M73,F73)</x:f>
        <x:v>貿聯-KY</x:v>
      </x:c>
      <x:c r="Q73" s="28" t="str">
        <x:f>IF(N73&lt;&gt;"",N73,G73)</x:f>
        <x:v>上市</x:v>
      </x:c>
      <x:c r="R73" s="28" t="str">
        <x:f>IF(Q73="上市","TW",IF(Q73="上櫃","TWO",""))</x:f>
        <x:v>TW</x:v>
      </x:c>
      <x:c r="S73" s="28" t="str">
        <x:f>IF(OR(O73="",R73=""),"",O73&amp;"."&amp;R73)</x:f>
        <x:v>3665.TW</x:v>
      </x:c>
      <x:c r="T73" s="26" t="str">
        <x:v>是</x:v>
      </x:c>
      <x:c r="U73" s="29" t="str"/>
    </x:row>
    <x:row r="74">
      <x:c r="A74" s="52" t="n">
        <x:v>73</x:v>
      </x:c>
      <x:c r="B74" s="52" t="n">
        <x:v>8</x:v>
      </x:c>
      <x:c r="C74" s="52" t="str">
        <x:v>DAVID自選B／輪動與機器人</x:v>
      </x:c>
      <x:c r="D74" s="52" t="str">
        <x:v>DAVID自選</x:v>
      </x:c>
      <x:c r="E74" s="52" t="str">
        <x:v>2303</x:v>
      </x:c>
      <x:c r="F74" s="52" t="str">
        <x:v>聯電</x:v>
      </x:c>
      <x:c r="G74" s="52" t="str">
        <x:v>上市</x:v>
      </x:c>
      <x:c r="H74" s="52" t="str">
        <x:v>TW</x:v>
      </x:c>
      <x:c r="I74" s="52" t="str">
        <x:v>2303.TW</x:v>
      </x:c>
      <x:c r="J74" s="52" t="str">
        <x:v>晶圓代工</x:v>
      </x:c>
      <x:c r="K74" s="52" t="str">
        <x:v>https://www.twse.com.tw/</x:v>
      </x:c>
      <x:c r="L74" s="27" t="str"/>
      <x:c r="M74" s="27" t="str"/>
      <x:c r="N74" s="27" t="str"/>
      <x:c r="O74" s="28" t="str">
        <x:f>IF(L74&lt;&gt;"",L74,E74)</x:f>
        <x:v>2303</x:v>
      </x:c>
      <x:c r="P74" s="28" t="str">
        <x:f>IF(M74&lt;&gt;"",M74,F74)</x:f>
        <x:v>聯電</x:v>
      </x:c>
      <x:c r="Q74" s="28" t="str">
        <x:f>IF(N74&lt;&gt;"",N74,G74)</x:f>
        <x:v>上市</x:v>
      </x:c>
      <x:c r="R74" s="28" t="str">
        <x:f>IF(Q74="上市","TW",IF(Q74="上櫃","TWO",""))</x:f>
        <x:v>TW</x:v>
      </x:c>
      <x:c r="S74" s="28" t="str">
        <x:f>IF(OR(O74="",R74=""),"",O74&amp;"."&amp;R74)</x:f>
        <x:v>2303.TW</x:v>
      </x:c>
      <x:c r="T74" s="26" t="str">
        <x:v>是</x:v>
      </x:c>
      <x:c r="U74" s="29" t="str"/>
    </x:row>
    <x:row r="75">
      <x:c r="A75" s="52" t="n">
        <x:v>74</x:v>
      </x:c>
      <x:c r="B75" s="52" t="n">
        <x:v>8</x:v>
      </x:c>
      <x:c r="C75" s="52" t="str">
        <x:v>DAVID自選B／輪動與機器人</x:v>
      </x:c>
      <x:c r="D75" s="52" t="str">
        <x:v>DAVID自選</x:v>
      </x:c>
      <x:c r="E75" s="52" t="str">
        <x:v>5347</x:v>
      </x:c>
      <x:c r="F75" s="52" t="str">
        <x:v>世界</x:v>
      </x:c>
      <x:c r="G75" s="52" t="str">
        <x:v>上櫃</x:v>
      </x:c>
      <x:c r="H75" s="52" t="str">
        <x:v>TWO</x:v>
      </x:c>
      <x:c r="I75" s="52" t="str">
        <x:v>5347.TWO</x:v>
      </x:c>
      <x:c r="J75" s="52" t="str">
        <x:v>晶圓代工</x:v>
      </x:c>
      <x:c r="K75" s="52" t="str">
        <x:v>https://www.tpex.org.tw/</x:v>
      </x:c>
      <x:c r="L75" s="27" t="str"/>
      <x:c r="M75" s="27" t="str"/>
      <x:c r="N75" s="27" t="str"/>
      <x:c r="O75" s="28" t="str">
        <x:f>IF(L75&lt;&gt;"",L75,E75)</x:f>
        <x:v>5347</x:v>
      </x:c>
      <x:c r="P75" s="28" t="str">
        <x:f>IF(M75&lt;&gt;"",M75,F75)</x:f>
        <x:v>世界</x:v>
      </x:c>
      <x:c r="Q75" s="28" t="str">
        <x:f>IF(N75&lt;&gt;"",N75,G75)</x:f>
        <x:v>上櫃</x:v>
      </x:c>
      <x:c r="R75" s="28" t="str">
        <x:f>IF(Q75="上市","TW",IF(Q75="上櫃","TWO",""))</x:f>
        <x:v>TWO</x:v>
      </x:c>
      <x:c r="S75" s="28" t="str">
        <x:f>IF(OR(O75="",R75=""),"",O75&amp;"."&amp;R75)</x:f>
        <x:v>5347.TWO</x:v>
      </x:c>
      <x:c r="T75" s="26" t="str">
        <x:v>是</x:v>
      </x:c>
      <x:c r="U75" s="29" t="str"/>
    </x:row>
    <x:row r="76">
      <x:c r="A76" s="52" t="n">
        <x:v>75</x:v>
      </x:c>
      <x:c r="B76" s="52" t="n">
        <x:v>8</x:v>
      </x:c>
      <x:c r="C76" s="52" t="str">
        <x:v>DAVID自選B／輪動與機器人</x:v>
      </x:c>
      <x:c r="D76" s="52" t="str">
        <x:v>DAVID自選</x:v>
      </x:c>
      <x:c r="E76" s="52" t="str">
        <x:v>2207</x:v>
      </x:c>
      <x:c r="F76" s="52" t="str">
        <x:v>和泰車</x:v>
      </x:c>
      <x:c r="G76" s="52" t="str">
        <x:v>上市</x:v>
      </x:c>
      <x:c r="H76" s="52" t="str">
        <x:v>TW</x:v>
      </x:c>
      <x:c r="I76" s="52" t="str">
        <x:v>2207.TW</x:v>
      </x:c>
      <x:c r="J76" s="52" t="str">
        <x:v>非AI輪動／防禦</x:v>
      </x:c>
      <x:c r="K76" s="52" t="str">
        <x:v>https://www.twse.com.tw/</x:v>
      </x:c>
      <x:c r="L76" s="27" t="str"/>
      <x:c r="M76" s="27" t="str"/>
      <x:c r="N76" s="27" t="str"/>
      <x:c r="O76" s="28" t="str">
        <x:f>IF(L76&lt;&gt;"",L76,E76)</x:f>
        <x:v>2207</x:v>
      </x:c>
      <x:c r="P76" s="28" t="str">
        <x:f>IF(M76&lt;&gt;"",M76,F76)</x:f>
        <x:v>和泰車</x:v>
      </x:c>
      <x:c r="Q76" s="28" t="str">
        <x:f>IF(N76&lt;&gt;"",N76,G76)</x:f>
        <x:v>上市</x:v>
      </x:c>
      <x:c r="R76" s="28" t="str">
        <x:f>IF(Q76="上市","TW",IF(Q76="上櫃","TWO",""))</x:f>
        <x:v>TW</x:v>
      </x:c>
      <x:c r="S76" s="28" t="str">
        <x:f>IF(OR(O76="",R76=""),"",O76&amp;"."&amp;R76)</x:f>
        <x:v>2207.TW</x:v>
      </x:c>
      <x:c r="T76" s="26" t="str">
        <x:v>是</x:v>
      </x:c>
      <x:c r="U76" s="29" t="str"/>
    </x:row>
    <x:row r="77">
      <x:c r="A77" s="52" t="n">
        <x:v>76</x:v>
      </x:c>
      <x:c r="B77" s="52" t="n">
        <x:v>8</x:v>
      </x:c>
      <x:c r="C77" s="52" t="str">
        <x:v>DAVID自選B／輪動與機器人</x:v>
      </x:c>
      <x:c r="D77" s="52" t="str">
        <x:v>DAVID自選</x:v>
      </x:c>
      <x:c r="E77" s="52" t="str">
        <x:v>2049</x:v>
      </x:c>
      <x:c r="F77" s="52" t="str">
        <x:v>上銀</x:v>
      </x:c>
      <x:c r="G77" s="52" t="str">
        <x:v>上市</x:v>
      </x:c>
      <x:c r="H77" s="52" t="str">
        <x:v>TW</x:v>
      </x:c>
      <x:c r="I77" s="52" t="str">
        <x:v>2049.TW</x:v>
      </x:c>
      <x:c r="J77" s="52" t="str">
        <x:v>機器人／線性傳動</x:v>
      </x:c>
      <x:c r="K77" s="52" t="str">
        <x:v>https://www.twse.com.tw/</x:v>
      </x:c>
      <x:c r="L77" s="27" t="str"/>
      <x:c r="M77" s="27" t="str"/>
      <x:c r="N77" s="27" t="str"/>
      <x:c r="O77" s="28" t="str">
        <x:f>IF(L77&lt;&gt;"",L77,E77)</x:f>
        <x:v>2049</x:v>
      </x:c>
      <x:c r="P77" s="28" t="str">
        <x:f>IF(M77&lt;&gt;"",M77,F77)</x:f>
        <x:v>上銀</x:v>
      </x:c>
      <x:c r="Q77" s="28" t="str">
        <x:f>IF(N77&lt;&gt;"",N77,G77)</x:f>
        <x:v>上市</x:v>
      </x:c>
      <x:c r="R77" s="28" t="str">
        <x:f>IF(Q77="上市","TW",IF(Q77="上櫃","TWO",""))</x:f>
        <x:v>TW</x:v>
      </x:c>
      <x:c r="S77" s="28" t="str">
        <x:f>IF(OR(O77="",R77=""),"",O77&amp;"."&amp;R77)</x:f>
        <x:v>2049.TW</x:v>
      </x:c>
      <x:c r="T77" s="26" t="str">
        <x:v>是</x:v>
      </x:c>
      <x:c r="U77" s="29" t="str"/>
    </x:row>
    <x:row r="78">
      <x:c r="A78" s="52" t="n">
        <x:v>77</x:v>
      </x:c>
      <x:c r="B78" s="52" t="n">
        <x:v>8</x:v>
      </x:c>
      <x:c r="C78" s="52" t="str">
        <x:v>DAVID自選B／輪動與機器人</x:v>
      </x:c>
      <x:c r="D78" s="52" t="str">
        <x:v>DAVID自選</x:v>
      </x:c>
      <x:c r="E78" s="52" t="str">
        <x:v>1590</x:v>
      </x:c>
      <x:c r="F78" s="52" t="str">
        <x:v>亞德客-KY</x:v>
      </x:c>
      <x:c r="G78" s="52" t="str">
        <x:v>上市</x:v>
      </x:c>
      <x:c r="H78" s="52" t="str">
        <x:v>TW</x:v>
      </x:c>
      <x:c r="I78" s="52" t="str">
        <x:v>1590.TW</x:v>
      </x:c>
      <x:c r="J78" s="52" t="str">
        <x:v>自動化／氣動元件</x:v>
      </x:c>
      <x:c r="K78" s="52" t="str">
        <x:v>https://www.twse.com.tw/</x:v>
      </x:c>
      <x:c r="L78" s="27" t="str"/>
      <x:c r="M78" s="27" t="str"/>
      <x:c r="N78" s="27" t="str"/>
      <x:c r="O78" s="28" t="str">
        <x:f>IF(L78&lt;&gt;"",L78,E78)</x:f>
        <x:v>1590</x:v>
      </x:c>
      <x:c r="P78" s="28" t="str">
        <x:f>IF(M78&lt;&gt;"",M78,F78)</x:f>
        <x:v>亞德客-KY</x:v>
      </x:c>
      <x:c r="Q78" s="28" t="str">
        <x:f>IF(N78&lt;&gt;"",N78,G78)</x:f>
        <x:v>上市</x:v>
      </x:c>
      <x:c r="R78" s="28" t="str">
        <x:f>IF(Q78="上市","TW",IF(Q78="上櫃","TWO",""))</x:f>
        <x:v>TW</x:v>
      </x:c>
      <x:c r="S78" s="28" t="str">
        <x:f>IF(OR(O78="",R78=""),"",O78&amp;"."&amp;R78)</x:f>
        <x:v>1590.TW</x:v>
      </x:c>
      <x:c r="T78" s="26" t="str">
        <x:v>是</x:v>
      </x:c>
      <x:c r="U78" s="29" t="str"/>
    </x:row>
    <x:row r="79">
      <x:c r="A79" s="52" t="n">
        <x:v>78</x:v>
      </x:c>
      <x:c r="B79" s="52" t="n">
        <x:v>8</x:v>
      </x:c>
      <x:c r="C79" s="52" t="str">
        <x:v>DAVID自選B／輪動與機器人</x:v>
      </x:c>
      <x:c r="D79" s="52" t="str">
        <x:v>DAVID自選</x:v>
      </x:c>
      <x:c r="E79" s="52" t="str">
        <x:v>2359</x:v>
      </x:c>
      <x:c r="F79" s="52" t="str">
        <x:v>所羅門</x:v>
      </x:c>
      <x:c r="G79" s="52" t="str">
        <x:v>上市</x:v>
      </x:c>
      <x:c r="H79" s="52" t="str">
        <x:v>TW</x:v>
      </x:c>
      <x:c r="I79" s="52" t="str">
        <x:v>2359.TW</x:v>
      </x:c>
      <x:c r="J79" s="52" t="str">
        <x:v>AI視覺／機器人</x:v>
      </x:c>
      <x:c r="K79" s="52" t="str">
        <x:v>https://www.twse.com.tw/</x:v>
      </x:c>
      <x:c r="L79" s="27" t="str"/>
      <x:c r="M79" s="27" t="str"/>
      <x:c r="N79" s="27" t="str"/>
      <x:c r="O79" s="28" t="str">
        <x:f>IF(L79&lt;&gt;"",L79,E79)</x:f>
        <x:v>2359</x:v>
      </x:c>
      <x:c r="P79" s="28" t="str">
        <x:f>IF(M79&lt;&gt;"",M79,F79)</x:f>
        <x:v>所羅門</x:v>
      </x:c>
      <x:c r="Q79" s="28" t="str">
        <x:f>IF(N79&lt;&gt;"",N79,G79)</x:f>
        <x:v>上市</x:v>
      </x:c>
      <x:c r="R79" s="28" t="str">
        <x:f>IF(Q79="上市","TW",IF(Q79="上櫃","TWO",""))</x:f>
        <x:v>TW</x:v>
      </x:c>
      <x:c r="S79" s="28" t="str">
        <x:f>IF(OR(O79="",R79=""),"",O79&amp;"."&amp;R79)</x:f>
        <x:v>2359.TW</x:v>
      </x:c>
      <x:c r="T79" s="26" t="str">
        <x:v>是</x:v>
      </x:c>
      <x:c r="U79" s="29" t="str"/>
    </x:row>
    <x:row r="80">
      <x:c r="A80" s="52" t="n">
        <x:v>79</x:v>
      </x:c>
      <x:c r="B80" s="52" t="n">
        <x:v>8</x:v>
      </x:c>
      <x:c r="C80" s="52" t="str">
        <x:v>DAVID自選B／輪動與機器人</x:v>
      </x:c>
      <x:c r="D80" s="52" t="str">
        <x:v>DAVID自選</x:v>
      </x:c>
      <x:c r="E80" s="52" t="str">
        <x:v>6215</x:v>
      </x:c>
      <x:c r="F80" s="52" t="str">
        <x:v>和椿</x:v>
      </x:c>
      <x:c r="G80" s="52" t="str">
        <x:v>上市</x:v>
      </x:c>
      <x:c r="H80" s="52" t="str">
        <x:v>TW</x:v>
      </x:c>
      <x:c r="I80" s="52" t="str">
        <x:v>6215.TW</x:v>
      </x:c>
      <x:c r="J80" s="52" t="str">
        <x:v>自動化／機器人</x:v>
      </x:c>
      <x:c r="K80" s="52" t="str">
        <x:v>https://www.twse.com.tw/</x:v>
      </x:c>
      <x:c r="L80" s="27" t="str"/>
      <x:c r="M80" s="27" t="str"/>
      <x:c r="N80" s="27" t="str"/>
      <x:c r="O80" s="28" t="str">
        <x:f>IF(L80&lt;&gt;"",L80,E80)</x:f>
        <x:v>6215</x:v>
      </x:c>
      <x:c r="P80" s="28" t="str">
        <x:f>IF(M80&lt;&gt;"",M80,F80)</x:f>
        <x:v>和椿</x:v>
      </x:c>
      <x:c r="Q80" s="28" t="str">
        <x:f>IF(N80&lt;&gt;"",N80,G80)</x:f>
        <x:v>上市</x:v>
      </x:c>
      <x:c r="R80" s="28" t="str">
        <x:f>IF(Q80="上市","TW",IF(Q80="上櫃","TWO",""))</x:f>
        <x:v>TW</x:v>
      </x:c>
      <x:c r="S80" s="28" t="str">
        <x:f>IF(OR(O80="",R80=""),"",O80&amp;"."&amp;R80)</x:f>
        <x:v>6215.TW</x:v>
      </x:c>
      <x:c r="T80" s="26" t="str">
        <x:v>是</x:v>
      </x:c>
      <x:c r="U80" s="29" t="str"/>
    </x:row>
    <x:row r="81">
      <x:c r="A81" s="52" t="n">
        <x:v>80</x:v>
      </x:c>
      <x:c r="B81" s="52" t="n">
        <x:v>8</x:v>
      </x:c>
      <x:c r="C81" s="52" t="str">
        <x:v>DAVID自選B／輪動與機器人</x:v>
      </x:c>
      <x:c r="D81" s="52" t="str">
        <x:v>DAVID自選</x:v>
      </x:c>
      <x:c r="E81" s="52" t="str">
        <x:v>4576</x:v>
      </x:c>
      <x:c r="F81" s="52" t="str">
        <x:v>大銀微系統</x:v>
      </x:c>
      <x:c r="G81" s="52" t="str">
        <x:v>上市</x:v>
      </x:c>
      <x:c r="H81" s="52" t="str">
        <x:v>TW</x:v>
      </x:c>
      <x:c r="I81" s="52" t="str">
        <x:v>4576.TW</x:v>
      </x:c>
      <x:c r="J81" s="52" t="str">
        <x:v>機器人零組件</x:v>
      </x:c>
      <x:c r="K81" s="52" t="str">
        <x:v>https://www.twse.com.tw/</x:v>
      </x:c>
      <x:c r="L81" s="27" t="str"/>
      <x:c r="M81" s="27" t="str"/>
      <x:c r="N81" s="27" t="str"/>
      <x:c r="O81" s="28" t="str">
        <x:f>IF(L81&lt;&gt;"",L81,E81)</x:f>
        <x:v>4576</x:v>
      </x:c>
      <x:c r="P81" s="28" t="str">
        <x:f>IF(M81&lt;&gt;"",M81,F81)</x:f>
        <x:v>大銀微系統</x:v>
      </x:c>
      <x:c r="Q81" s="28" t="str">
        <x:f>IF(N81&lt;&gt;"",N81,G81)</x:f>
        <x:v>上市</x:v>
      </x:c>
      <x:c r="R81" s="28" t="str">
        <x:f>IF(Q81="上市","TW",IF(Q81="上櫃","TWO",""))</x:f>
        <x:v>TW</x:v>
      </x:c>
      <x:c r="S81" s="28" t="str">
        <x:f>IF(OR(O81="",R81=""),"",O81&amp;"."&amp;R81)</x:f>
        <x:v>4576.TW</x:v>
      </x:c>
      <x:c r="T81" s="26" t="str">
        <x:v>是</x:v>
      </x:c>
      <x:c r="U81" s="29" t="str"/>
    </x:row>
    <x:row r="82">
      <x:c r="A82" s="54" t="n">
        <x:v>81</x:v>
      </x:c>
      <x:c r="B82" s="54" t="n">
        <x:v>9</x:v>
      </x:c>
      <x:c r="C82" s="54" t="str">
        <x:v>🔥 本週熱門候補</x:v>
      </x:c>
      <x:c r="D82" s="54" t="str">
        <x:v>自動頁種子池</x:v>
      </x:c>
      <x:c r="E82" s="54" t="str">
        <x:v>2356</x:v>
      </x:c>
      <x:c r="F82" s="54" t="str">
        <x:v>英業達</x:v>
      </x:c>
      <x:c r="G82" s="54" t="str">
        <x:v>上市</x:v>
      </x:c>
      <x:c r="H82" s="54" t="str">
        <x:v>TW</x:v>
      </x:c>
      <x:c r="I82" s="54" t="str">
        <x:v>2356.TW</x:v>
      </x:c>
      <x:c r="J82" s="54" t="str">
        <x:v>AI伺服器候補</x:v>
      </x:c>
      <x:c r="K82" s="54" t="str">
        <x:v>https://www.twse.com.tw/</x:v>
      </x:c>
      <x:c r="L82" s="27" t="str"/>
      <x:c r="M82" s="27" t="str"/>
      <x:c r="N82" s="27" t="str"/>
      <x:c r="O82" s="28" t="str">
        <x:f>IF(L82&lt;&gt;"",L82,E82)</x:f>
        <x:v>2356</x:v>
      </x:c>
      <x:c r="P82" s="28" t="str">
        <x:f>IF(M82&lt;&gt;"",M82,F82)</x:f>
        <x:v>英業達</x:v>
      </x:c>
      <x:c r="Q82" s="28" t="str">
        <x:f>IF(N82&lt;&gt;"",N82,G82)</x:f>
        <x:v>上市</x:v>
      </x:c>
      <x:c r="R82" s="28" t="str">
        <x:f>IF(Q82="上市","TW",IF(Q82="上櫃","TWO",""))</x:f>
        <x:v>TW</x:v>
      </x:c>
      <x:c r="S82" s="28" t="str">
        <x:f>IF(OR(O82="",R82=""),"",O82&amp;"."&amp;R82)</x:f>
        <x:v>2356.TW</x:v>
      </x:c>
      <x:c r="T82" s="26" t="str">
        <x:v>是</x:v>
      </x:c>
      <x:c r="U82" s="29" t="str"/>
    </x:row>
    <x:row r="83">
      <x:c r="A83" s="54" t="n">
        <x:v>82</x:v>
      </x:c>
      <x:c r="B83" s="54" t="n">
        <x:v>9</x:v>
      </x:c>
      <x:c r="C83" s="54" t="str">
        <x:v>🔥 本週熱門候補</x:v>
      </x:c>
      <x:c r="D83" s="54" t="str">
        <x:v>自動頁種子池</x:v>
      </x:c>
      <x:c r="E83" s="54" t="str">
        <x:v>4938</x:v>
      </x:c>
      <x:c r="F83" s="54" t="str">
        <x:v>和碩</x:v>
      </x:c>
      <x:c r="G83" s="54" t="str">
        <x:v>上市</x:v>
      </x:c>
      <x:c r="H83" s="54" t="str">
        <x:v>TW</x:v>
      </x:c>
      <x:c r="I83" s="54" t="str">
        <x:v>4938.TW</x:v>
      </x:c>
      <x:c r="J83" s="54" t="str">
        <x:v>AI伺服器／電子代工</x:v>
      </x:c>
      <x:c r="K83" s="54" t="str">
        <x:v>https://www.twse.com.tw/</x:v>
      </x:c>
      <x:c r="L83" s="27" t="str"/>
      <x:c r="M83" s="27" t="str"/>
      <x:c r="N83" s="27" t="str"/>
      <x:c r="O83" s="28" t="str">
        <x:f>IF(L83&lt;&gt;"",L83,E83)</x:f>
        <x:v>4938</x:v>
      </x:c>
      <x:c r="P83" s="28" t="str">
        <x:f>IF(M83&lt;&gt;"",M83,F83)</x:f>
        <x:v>和碩</x:v>
      </x:c>
      <x:c r="Q83" s="28" t="str">
        <x:f>IF(N83&lt;&gt;"",N83,G83)</x:f>
        <x:v>上市</x:v>
      </x:c>
      <x:c r="R83" s="28" t="str">
        <x:f>IF(Q83="上市","TW",IF(Q83="上櫃","TWO",""))</x:f>
        <x:v>TW</x:v>
      </x:c>
      <x:c r="S83" s="28" t="str">
        <x:f>IF(OR(O83="",R83=""),"",O83&amp;"."&amp;R83)</x:f>
        <x:v>4938.TW</x:v>
      </x:c>
      <x:c r="T83" s="26" t="str">
        <x:v>是</x:v>
      </x:c>
      <x:c r="U83" s="29" t="str"/>
    </x:row>
    <x:row r="84">
      <x:c r="A84" s="54" t="n">
        <x:v>83</x:v>
      </x:c>
      <x:c r="B84" s="54" t="n">
        <x:v>9</x:v>
      </x:c>
      <x:c r="C84" s="54" t="str">
        <x:v>🔥 本週熱門候補</x:v>
      </x:c>
      <x:c r="D84" s="54" t="str">
        <x:v>自動頁種子池</x:v>
      </x:c>
      <x:c r="E84" s="54" t="str">
        <x:v>2377</x:v>
      </x:c>
      <x:c r="F84" s="54" t="str">
        <x:v>微星</x:v>
      </x:c>
      <x:c r="G84" s="54" t="str">
        <x:v>上市</x:v>
      </x:c>
      <x:c r="H84" s="54" t="str">
        <x:v>TW</x:v>
      </x:c>
      <x:c r="I84" s="54" t="str">
        <x:v>2377.TW</x:v>
      </x:c>
      <x:c r="J84" s="54" t="str">
        <x:v>AI PC／伺服器</x:v>
      </x:c>
      <x:c r="K84" s="54" t="str">
        <x:v>https://www.twse.com.tw/</x:v>
      </x:c>
      <x:c r="L84" s="27" t="str"/>
      <x:c r="M84" s="27" t="str"/>
      <x:c r="N84" s="27" t="str"/>
      <x:c r="O84" s="28" t="str">
        <x:f>IF(L84&lt;&gt;"",L84,E84)</x:f>
        <x:v>2377</x:v>
      </x:c>
      <x:c r="P84" s="28" t="str">
        <x:f>IF(M84&lt;&gt;"",M84,F84)</x:f>
        <x:v>微星</x:v>
      </x:c>
      <x:c r="Q84" s="28" t="str">
        <x:f>IF(N84&lt;&gt;"",N84,G84)</x:f>
        <x:v>上市</x:v>
      </x:c>
      <x:c r="R84" s="28" t="str">
        <x:f>IF(Q84="上市","TW",IF(Q84="上櫃","TWO",""))</x:f>
        <x:v>TW</x:v>
      </x:c>
      <x:c r="S84" s="28" t="str">
        <x:f>IF(OR(O84="",R84=""),"",O84&amp;"."&amp;R84)</x:f>
        <x:v>2377.TW</x:v>
      </x:c>
      <x:c r="T84" s="26" t="str">
        <x:v>是</x:v>
      </x:c>
      <x:c r="U84" s="29" t="str"/>
    </x:row>
    <x:row r="85">
      <x:c r="A85" s="54" t="n">
        <x:v>84</x:v>
      </x:c>
      <x:c r="B85" s="54" t="n">
        <x:v>9</x:v>
      </x:c>
      <x:c r="C85" s="54" t="str">
        <x:v>🔥 本週熱門候補</x:v>
      </x:c>
      <x:c r="D85" s="54" t="str">
        <x:v>自動頁種子池</x:v>
      </x:c>
      <x:c r="E85" s="54" t="str">
        <x:v>3706</x:v>
      </x:c>
      <x:c r="F85" s="54" t="str">
        <x:v>神達</x:v>
      </x:c>
      <x:c r="G85" s="54" t="str">
        <x:v>上市</x:v>
      </x:c>
      <x:c r="H85" s="54" t="str">
        <x:v>TW</x:v>
      </x:c>
      <x:c r="I85" s="54" t="str">
        <x:v>3706.TW</x:v>
      </x:c>
      <x:c r="J85" s="54" t="str">
        <x:v>AI伺服器</x:v>
      </x:c>
      <x:c r="K85" s="54" t="str">
        <x:v>https://www.twse.com.tw/</x:v>
      </x:c>
      <x:c r="L85" s="27" t="str"/>
      <x:c r="M85" s="27" t="str"/>
      <x:c r="N85" s="27" t="str"/>
      <x:c r="O85" s="28" t="str">
        <x:f>IF(L85&lt;&gt;"",L85,E85)</x:f>
        <x:v>3706</x:v>
      </x:c>
      <x:c r="P85" s="28" t="str">
        <x:f>IF(M85&lt;&gt;"",M85,F85)</x:f>
        <x:v>神達</x:v>
      </x:c>
      <x:c r="Q85" s="28" t="str">
        <x:f>IF(N85&lt;&gt;"",N85,G85)</x:f>
        <x:v>上市</x:v>
      </x:c>
      <x:c r="R85" s="28" t="str">
        <x:f>IF(Q85="上市","TW",IF(Q85="上櫃","TWO",""))</x:f>
        <x:v>TW</x:v>
      </x:c>
      <x:c r="S85" s="28" t="str">
        <x:f>IF(OR(O85="",R85=""),"",O85&amp;"."&amp;R85)</x:f>
        <x:v>3706.TW</x:v>
      </x:c>
      <x:c r="T85" s="26" t="str">
        <x:v>是</x:v>
      </x:c>
      <x:c r="U85" s="29" t="str"/>
    </x:row>
    <x:row r="86">
      <x:c r="A86" s="54" t="n">
        <x:v>85</x:v>
      </x:c>
      <x:c r="B86" s="54" t="n">
        <x:v>9</x:v>
      </x:c>
      <x:c r="C86" s="54" t="str">
        <x:v>🔥 本週熱門候補</x:v>
      </x:c>
      <x:c r="D86" s="54" t="str">
        <x:v>自動頁種子池</x:v>
      </x:c>
      <x:c r="E86" s="54" t="str">
        <x:v>8210</x:v>
      </x:c>
      <x:c r="F86" s="54" t="str">
        <x:v>勤誠</x:v>
      </x:c>
      <x:c r="G86" s="54" t="str">
        <x:v>上市</x:v>
      </x:c>
      <x:c r="H86" s="54" t="str">
        <x:v>TW</x:v>
      </x:c>
      <x:c r="I86" s="54" t="str">
        <x:v>8210.TW</x:v>
      </x:c>
      <x:c r="J86" s="54" t="str">
        <x:v>伺服器機殼</x:v>
      </x:c>
      <x:c r="K86" s="54" t="str">
        <x:v>https://www.twse.com.tw/</x:v>
      </x:c>
      <x:c r="L86" s="27" t="str"/>
      <x:c r="M86" s="27" t="str"/>
      <x:c r="N86" s="27" t="str"/>
      <x:c r="O86" s="28" t="str">
        <x:f>IF(L86&lt;&gt;"",L86,E86)</x:f>
        <x:v>8210</x:v>
      </x:c>
      <x:c r="P86" s="28" t="str">
        <x:f>IF(M86&lt;&gt;"",M86,F86)</x:f>
        <x:v>勤誠</x:v>
      </x:c>
      <x:c r="Q86" s="28" t="str">
        <x:f>IF(N86&lt;&gt;"",N86,G86)</x:f>
        <x:v>上市</x:v>
      </x:c>
      <x:c r="R86" s="28" t="str">
        <x:f>IF(Q86="上市","TW",IF(Q86="上櫃","TWO",""))</x:f>
        <x:v>TW</x:v>
      </x:c>
      <x:c r="S86" s="28" t="str">
        <x:f>IF(OR(O86="",R86=""),"",O86&amp;"."&amp;R86)</x:f>
        <x:v>8210.TW</x:v>
      </x:c>
      <x:c r="T86" s="26" t="str">
        <x:v>是</x:v>
      </x:c>
      <x:c r="U86" s="29" t="str"/>
    </x:row>
    <x:row r="87">
      <x:c r="A87" s="54" t="n">
        <x:v>86</x:v>
      </x:c>
      <x:c r="B87" s="54" t="n">
        <x:v>9</x:v>
      </x:c>
      <x:c r="C87" s="54" t="str">
        <x:v>🔥 本週熱門候補</x:v>
      </x:c>
      <x:c r="D87" s="54" t="str">
        <x:v>自動頁種子池</x:v>
      </x:c>
      <x:c r="E87" s="54" t="str">
        <x:v>3013</x:v>
      </x:c>
      <x:c r="F87" s="54" t="str">
        <x:v>晟銘電</x:v>
      </x:c>
      <x:c r="G87" s="54" t="str">
        <x:v>上市</x:v>
      </x:c>
      <x:c r="H87" s="54" t="str">
        <x:v>TW</x:v>
      </x:c>
      <x:c r="I87" s="54" t="str">
        <x:v>3013.TW</x:v>
      </x:c>
      <x:c r="J87" s="54" t="str">
        <x:v>伺服器機殼</x:v>
      </x:c>
      <x:c r="K87" s="54" t="str">
        <x:v>https://www.twse.com.tw/</x:v>
      </x:c>
      <x:c r="L87" s="27" t="str"/>
      <x:c r="M87" s="27" t="str"/>
      <x:c r="N87" s="27" t="str"/>
      <x:c r="O87" s="28" t="str">
        <x:f>IF(L87&lt;&gt;"",L87,E87)</x:f>
        <x:v>3013</x:v>
      </x:c>
      <x:c r="P87" s="28" t="str">
        <x:f>IF(M87&lt;&gt;"",M87,F87)</x:f>
        <x:v>晟銘電</x:v>
      </x:c>
      <x:c r="Q87" s="28" t="str">
        <x:f>IF(N87&lt;&gt;"",N87,G87)</x:f>
        <x:v>上市</x:v>
      </x:c>
      <x:c r="R87" s="28" t="str">
        <x:f>IF(Q87="上市","TW",IF(Q87="上櫃","TWO",""))</x:f>
        <x:v>TW</x:v>
      </x:c>
      <x:c r="S87" s="28" t="str">
        <x:f>IF(OR(O87="",R87=""),"",O87&amp;"."&amp;R87)</x:f>
        <x:v>3013.TW</x:v>
      </x:c>
      <x:c r="T87" s="26" t="str">
        <x:v>是</x:v>
      </x:c>
      <x:c r="U87" s="29" t="str"/>
    </x:row>
    <x:row r="88">
      <x:c r="A88" s="54" t="n">
        <x:v>87</x:v>
      </x:c>
      <x:c r="B88" s="54" t="n">
        <x:v>9</x:v>
      </x:c>
      <x:c r="C88" s="54" t="str">
        <x:v>🔥 本週熱門候補</x:v>
      </x:c>
      <x:c r="D88" s="54" t="str">
        <x:v>自動頁種子池</x:v>
      </x:c>
      <x:c r="E88" s="54" t="str">
        <x:v>3533</x:v>
      </x:c>
      <x:c r="F88" s="54" t="str">
        <x:v>嘉澤</x:v>
      </x:c>
      <x:c r="G88" s="54" t="str">
        <x:v>上市</x:v>
      </x:c>
      <x:c r="H88" s="54" t="str">
        <x:v>TW</x:v>
      </x:c>
      <x:c r="I88" s="54" t="str">
        <x:v>3533.TW</x:v>
      </x:c>
      <x:c r="J88" s="54" t="str">
        <x:v>高速連接器</x:v>
      </x:c>
      <x:c r="K88" s="54" t="str">
        <x:v>https://www.twse.com.tw/</x:v>
      </x:c>
      <x:c r="L88" s="27" t="str"/>
      <x:c r="M88" s="27" t="str"/>
      <x:c r="N88" s="27" t="str"/>
      <x:c r="O88" s="28" t="str">
        <x:f>IF(L88&lt;&gt;"",L88,E88)</x:f>
        <x:v>3533</x:v>
      </x:c>
      <x:c r="P88" s="28" t="str">
        <x:f>IF(M88&lt;&gt;"",M88,F88)</x:f>
        <x:v>嘉澤</x:v>
      </x:c>
      <x:c r="Q88" s="28" t="str">
        <x:f>IF(N88&lt;&gt;"",N88,G88)</x:f>
        <x:v>上市</x:v>
      </x:c>
      <x:c r="R88" s="28" t="str">
        <x:f>IF(Q88="上市","TW",IF(Q88="上櫃","TWO",""))</x:f>
        <x:v>TW</x:v>
      </x:c>
      <x:c r="S88" s="28" t="str">
        <x:f>IF(OR(O88="",R88=""),"",O88&amp;"."&amp;R88)</x:f>
        <x:v>3533.TW</x:v>
      </x:c>
      <x:c r="T88" s="26" t="str">
        <x:v>是</x:v>
      </x:c>
      <x:c r="U88" s="29" t="str"/>
    </x:row>
    <x:row r="89">
      <x:c r="A89" s="54" t="n">
        <x:v>88</x:v>
      </x:c>
      <x:c r="B89" s="54" t="n">
        <x:v>9</x:v>
      </x:c>
      <x:c r="C89" s="54" t="str">
        <x:v>🔥 本週熱門候補</x:v>
      </x:c>
      <x:c r="D89" s="54" t="str">
        <x:v>自動頁種子池</x:v>
      </x:c>
      <x:c r="E89" s="54" t="str">
        <x:v>2360</x:v>
      </x:c>
      <x:c r="F89" s="54" t="str">
        <x:v>致茂</x:v>
      </x:c>
      <x:c r="G89" s="54" t="str">
        <x:v>上市</x:v>
      </x:c>
      <x:c r="H89" s="54" t="str">
        <x:v>TW</x:v>
      </x:c>
      <x:c r="I89" s="54" t="str">
        <x:v>2360.TW</x:v>
      </x:c>
      <x:c r="J89" s="54" t="str">
        <x:v>測試設備／電源量測</x:v>
      </x:c>
      <x:c r="K89" s="54" t="str">
        <x:v>https://www.twse.com.tw/</x:v>
      </x:c>
      <x:c r="L89" s="27" t="str"/>
      <x:c r="M89" s="27" t="str"/>
      <x:c r="N89" s="27" t="str"/>
      <x:c r="O89" s="28" t="str">
        <x:f>IF(L89&lt;&gt;"",L89,E89)</x:f>
        <x:v>2360</x:v>
      </x:c>
      <x:c r="P89" s="28" t="str">
        <x:f>IF(M89&lt;&gt;"",M89,F89)</x:f>
        <x:v>致茂</x:v>
      </x:c>
      <x:c r="Q89" s="28" t="str">
        <x:f>IF(N89&lt;&gt;"",N89,G89)</x:f>
        <x:v>上市</x:v>
      </x:c>
      <x:c r="R89" s="28" t="str">
        <x:f>IF(Q89="上市","TW",IF(Q89="上櫃","TWO",""))</x:f>
        <x:v>TW</x:v>
      </x:c>
      <x:c r="S89" s="28" t="str">
        <x:f>IF(OR(O89="",R89=""),"",O89&amp;"."&amp;R89)</x:f>
        <x:v>2360.TW</x:v>
      </x:c>
      <x:c r="T89" s="26" t="str">
        <x:v>是</x:v>
      </x:c>
      <x:c r="U89" s="29" t="str"/>
    </x:row>
    <x:row r="90">
      <x:c r="A90" s="54" t="n">
        <x:v>89</x:v>
      </x:c>
      <x:c r="B90" s="54" t="n">
        <x:v>9</x:v>
      </x:c>
      <x:c r="C90" s="54" t="str">
        <x:v>🔥 本週熱門候補</x:v>
      </x:c>
      <x:c r="D90" s="54" t="str">
        <x:v>自動頁種子池</x:v>
      </x:c>
      <x:c r="E90" s="54" t="str">
        <x:v>2395</x:v>
      </x:c>
      <x:c r="F90" s="54" t="str">
        <x:v>研華</x:v>
      </x:c>
      <x:c r="G90" s="54" t="str">
        <x:v>上市</x:v>
      </x:c>
      <x:c r="H90" s="54" t="str">
        <x:v>TW</x:v>
      </x:c>
      <x:c r="I90" s="54" t="str">
        <x:v>2395.TW</x:v>
      </x:c>
      <x:c r="J90" s="54" t="str">
        <x:v>工業電腦／Edge AI</x:v>
      </x:c>
      <x:c r="K90" s="54" t="str">
        <x:v>https://www.twse.com.tw/</x:v>
      </x:c>
      <x:c r="L90" s="27" t="str"/>
      <x:c r="M90" s="27" t="str"/>
      <x:c r="N90" s="27" t="str"/>
      <x:c r="O90" s="28" t="str">
        <x:f>IF(L90&lt;&gt;"",L90,E90)</x:f>
        <x:v>2395</x:v>
      </x:c>
      <x:c r="P90" s="28" t="str">
        <x:f>IF(M90&lt;&gt;"",M90,F90)</x:f>
        <x:v>研華</x:v>
      </x:c>
      <x:c r="Q90" s="28" t="str">
        <x:f>IF(N90&lt;&gt;"",N90,G90)</x:f>
        <x:v>上市</x:v>
      </x:c>
      <x:c r="R90" s="28" t="str">
        <x:f>IF(Q90="上市","TW",IF(Q90="上櫃","TWO",""))</x:f>
        <x:v>TW</x:v>
      </x:c>
      <x:c r="S90" s="28" t="str">
        <x:f>IF(OR(O90="",R90=""),"",O90&amp;"."&amp;R90)</x:f>
        <x:v>2395.TW</x:v>
      </x:c>
      <x:c r="T90" s="26" t="str">
        <x:v>是</x:v>
      </x:c>
      <x:c r="U90" s="29" t="str"/>
    </x:row>
    <x:row r="91">
      <x:c r="A91" s="54" t="n">
        <x:v>90</x:v>
      </x:c>
      <x:c r="B91" s="54" t="n">
        <x:v>9</x:v>
      </x:c>
      <x:c r="C91" s="54" t="str">
        <x:v>🔥 本週熱門候補</x:v>
      </x:c>
      <x:c r="D91" s="54" t="str">
        <x:v>自動頁種子池</x:v>
      </x:c>
      <x:c r="E91" s="54" t="str">
        <x:v>6414</x:v>
      </x:c>
      <x:c r="F91" s="54" t="str">
        <x:v>樺漢</x:v>
      </x:c>
      <x:c r="G91" s="54" t="str">
        <x:v>上市</x:v>
      </x:c>
      <x:c r="H91" s="54" t="str">
        <x:v>TW</x:v>
      </x:c>
      <x:c r="I91" s="54" t="str">
        <x:v>6414.TW</x:v>
      </x:c>
      <x:c r="J91" s="54" t="str">
        <x:v>工業電腦／AIoT</x:v>
      </x:c>
      <x:c r="K91" s="54" t="str">
        <x:v>https://www.twse.com.tw/</x:v>
      </x:c>
      <x:c r="L91" s="27" t="str"/>
      <x:c r="M91" s="27" t="str"/>
      <x:c r="N91" s="27" t="str"/>
      <x:c r="O91" s="28" t="str">
        <x:f>IF(L91&lt;&gt;"",L91,E91)</x:f>
        <x:v>6414</x:v>
      </x:c>
      <x:c r="P91" s="28" t="str">
        <x:f>IF(M91&lt;&gt;"",M91,F91)</x:f>
        <x:v>樺漢</x:v>
      </x:c>
      <x:c r="Q91" s="28" t="str">
        <x:f>IF(N91&lt;&gt;"",N91,G91)</x:f>
        <x:v>上市</x:v>
      </x:c>
      <x:c r="R91" s="28" t="str">
        <x:f>IF(Q91="上市","TW",IF(Q91="上櫃","TWO",""))</x:f>
        <x:v>TW</x:v>
      </x:c>
      <x:c r="S91" s="28" t="str">
        <x:f>IF(OR(O91="",R91=""),"",O91&amp;"."&amp;R91)</x:f>
        <x:v>6414.TW</x:v>
      </x:c>
      <x:c r="T91" s="26" t="str">
        <x:v>是</x:v>
      </x:c>
      <x:c r="U91" s="29" t="str"/>
    </x:row>
    <x:row r="92">
      <x:c r="A92" s="56" t="n">
        <x:v>91</x:v>
      </x:c>
      <x:c r="B92" s="56" t="n">
        <x:v>10</x:v>
      </x:c>
      <x:c r="C92" s="56" t="str">
        <x:v>🚨 異常轉強股</x:v>
      </x:c>
      <x:c r="D92" s="56" t="str">
        <x:v>自動頁種子池</x:v>
      </x:c>
      <x:c r="E92" s="56" t="str">
        <x:v>3583</x:v>
      </x:c>
      <x:c r="F92" s="56" t="str">
        <x:v>辛耘</x:v>
      </x:c>
      <x:c r="G92" s="56" t="str">
        <x:v>上市</x:v>
      </x:c>
      <x:c r="H92" s="56" t="str">
        <x:v>TW</x:v>
      </x:c>
      <x:c r="I92" s="56" t="str">
        <x:v>3583.TW</x:v>
      </x:c>
      <x:c r="J92" s="56" t="str">
        <x:v>半導體設備</x:v>
      </x:c>
      <x:c r="K92" s="56" t="str">
        <x:v>https://www.twse.com.tw/</x:v>
      </x:c>
      <x:c r="L92" s="27" t="str"/>
      <x:c r="M92" s="27" t="str"/>
      <x:c r="N92" s="27" t="str"/>
      <x:c r="O92" s="28" t="str">
        <x:f>IF(L92&lt;&gt;"",L92,E92)</x:f>
        <x:v>3583</x:v>
      </x:c>
      <x:c r="P92" s="28" t="str">
        <x:f>IF(M92&lt;&gt;"",M92,F92)</x:f>
        <x:v>辛耘</x:v>
      </x:c>
      <x:c r="Q92" s="28" t="str">
        <x:f>IF(N92&lt;&gt;"",N92,G92)</x:f>
        <x:v>上市</x:v>
      </x:c>
      <x:c r="R92" s="28" t="str">
        <x:f>IF(Q92="上市","TW",IF(Q92="上櫃","TWO",""))</x:f>
        <x:v>TW</x:v>
      </x:c>
      <x:c r="S92" s="28" t="str">
        <x:f>IF(OR(O92="",R92=""),"",O92&amp;"."&amp;R92)</x:f>
        <x:v>3583.TW</x:v>
      </x:c>
      <x:c r="T92" s="26" t="str">
        <x:v>是</x:v>
      </x:c>
      <x:c r="U92" s="29" t="str"/>
    </x:row>
    <x:row r="93">
      <x:c r="A93" s="56" t="n">
        <x:v>92</x:v>
      </x:c>
      <x:c r="B93" s="56" t="n">
        <x:v>10</x:v>
      </x:c>
      <x:c r="C93" s="56" t="str">
        <x:v>🚨 異常轉強股</x:v>
      </x:c>
      <x:c r="D93" s="56" t="str">
        <x:v>自動頁種子池</x:v>
      </x:c>
      <x:c r="E93" s="56" t="str">
        <x:v>3413</x:v>
      </x:c>
      <x:c r="F93" s="56" t="str">
        <x:v>京鼎</x:v>
      </x:c>
      <x:c r="G93" s="56" t="str">
        <x:v>上市</x:v>
      </x:c>
      <x:c r="H93" s="56" t="str">
        <x:v>TW</x:v>
      </x:c>
      <x:c r="I93" s="56" t="str">
        <x:v>3413.TW</x:v>
      </x:c>
      <x:c r="J93" s="56" t="str">
        <x:v>半導體設備</x:v>
      </x:c>
      <x:c r="K93" s="56" t="str">
        <x:v>https://www.twse.com.tw/</x:v>
      </x:c>
      <x:c r="L93" s="27" t="str"/>
      <x:c r="M93" s="27" t="str"/>
      <x:c r="N93" s="27" t="str"/>
      <x:c r="O93" s="28" t="str">
        <x:f>IF(L93&lt;&gt;"",L93,E93)</x:f>
        <x:v>3413</x:v>
      </x:c>
      <x:c r="P93" s="28" t="str">
        <x:f>IF(M93&lt;&gt;"",M93,F93)</x:f>
        <x:v>京鼎</x:v>
      </x:c>
      <x:c r="Q93" s="28" t="str">
        <x:f>IF(N93&lt;&gt;"",N93,G93)</x:f>
        <x:v>上市</x:v>
      </x:c>
      <x:c r="R93" s="28" t="str">
        <x:f>IF(Q93="上市","TW",IF(Q93="上櫃","TWO",""))</x:f>
        <x:v>TW</x:v>
      </x:c>
      <x:c r="S93" s="28" t="str">
        <x:f>IF(OR(O93="",R93=""),"",O93&amp;"."&amp;R93)</x:f>
        <x:v>3413.TW</x:v>
      </x:c>
      <x:c r="T93" s="26" t="str">
        <x:v>是</x:v>
      </x:c>
      <x:c r="U93" s="29" t="str"/>
    </x:row>
    <x:row r="94">
      <x:c r="A94" s="56" t="n">
        <x:v>93</x:v>
      </x:c>
      <x:c r="B94" s="56" t="n">
        <x:v>10</x:v>
      </x:c>
      <x:c r="C94" s="56" t="str">
        <x:v>🚨 異常轉強股</x:v>
      </x:c>
      <x:c r="D94" s="56" t="str">
        <x:v>自動頁種子池</x:v>
      </x:c>
      <x:c r="E94" s="56" t="str">
        <x:v>3680</x:v>
      </x:c>
      <x:c r="F94" s="56" t="str">
        <x:v>家登</x:v>
      </x:c>
      <x:c r="G94" s="56" t="str">
        <x:v>上櫃</x:v>
      </x:c>
      <x:c r="H94" s="56" t="str">
        <x:v>TWO</x:v>
      </x:c>
      <x:c r="I94" s="56" t="str">
        <x:v>3680.TWO</x:v>
      </x:c>
      <x:c r="J94" s="56" t="str">
        <x:v>先進製程／光罩載具</x:v>
      </x:c>
      <x:c r="K94" s="56" t="str">
        <x:v>https://www.tpex.org.tw/</x:v>
      </x:c>
      <x:c r="L94" s="27" t="str"/>
      <x:c r="M94" s="27" t="str"/>
      <x:c r="N94" s="27" t="str"/>
      <x:c r="O94" s="28" t="str">
        <x:f>IF(L94&lt;&gt;"",L94,E94)</x:f>
        <x:v>3680</x:v>
      </x:c>
      <x:c r="P94" s="28" t="str">
        <x:f>IF(M94&lt;&gt;"",M94,F94)</x:f>
        <x:v>家登</x:v>
      </x:c>
      <x:c r="Q94" s="28" t="str">
        <x:f>IF(N94&lt;&gt;"",N94,G94)</x:f>
        <x:v>上櫃</x:v>
      </x:c>
      <x:c r="R94" s="28" t="str">
        <x:f>IF(Q94="上市","TW",IF(Q94="上櫃","TWO",""))</x:f>
        <x:v>TWO</x:v>
      </x:c>
      <x:c r="S94" s="28" t="str">
        <x:f>IF(OR(O94="",R94=""),"",O94&amp;"."&amp;R94)</x:f>
        <x:v>3680.TWO</x:v>
      </x:c>
      <x:c r="T94" s="26" t="str">
        <x:v>是</x:v>
      </x:c>
      <x:c r="U94" s="29" t="str"/>
    </x:row>
    <x:row r="95">
      <x:c r="A95" s="56" t="n">
        <x:v>94</x:v>
      </x:c>
      <x:c r="B95" s="56" t="n">
        <x:v>10</x:v>
      </x:c>
      <x:c r="C95" s="56" t="str">
        <x:v>🚨 異常轉強股</x:v>
      </x:c>
      <x:c r="D95" s="56" t="str">
        <x:v>自動頁種子池</x:v>
      </x:c>
      <x:c r="E95" s="56" t="str">
        <x:v>6643</x:v>
      </x:c>
      <x:c r="F95" s="56" t="str">
        <x:v>M31</x:v>
      </x:c>
      <x:c r="G95" s="56" t="str">
        <x:v>上櫃</x:v>
      </x:c>
      <x:c r="H95" s="56" t="str">
        <x:v>TWO</x:v>
      </x:c>
      <x:c r="I95" s="56" t="str">
        <x:v>6643.TWO</x:v>
      </x:c>
      <x:c r="J95" s="56" t="str">
        <x:v>矽智財IP</x:v>
      </x:c>
      <x:c r="K95" s="56" t="str">
        <x:v>https://www.tpex.org.tw/</x:v>
      </x:c>
      <x:c r="L95" s="27" t="str"/>
      <x:c r="M95" s="27" t="str"/>
      <x:c r="N95" s="27" t="str"/>
      <x:c r="O95" s="28" t="str">
        <x:f>IF(L95&lt;&gt;"",L95,E95)</x:f>
        <x:v>6643</x:v>
      </x:c>
      <x:c r="P95" s="28" t="str">
        <x:f>IF(M95&lt;&gt;"",M95,F95)</x:f>
        <x:v>M31</x:v>
      </x:c>
      <x:c r="Q95" s="28" t="str">
        <x:f>IF(N95&lt;&gt;"",N95,G95)</x:f>
        <x:v>上櫃</x:v>
      </x:c>
      <x:c r="R95" s="28" t="str">
        <x:f>IF(Q95="上市","TW",IF(Q95="上櫃","TWO",""))</x:f>
        <x:v>TWO</x:v>
      </x:c>
      <x:c r="S95" s="28" t="str">
        <x:f>IF(OR(O95="",R95=""),"",O95&amp;"."&amp;R95)</x:f>
        <x:v>6643.TWO</x:v>
      </x:c>
      <x:c r="T95" s="26" t="str">
        <x:v>是</x:v>
      </x:c>
      <x:c r="U95" s="29" t="str"/>
    </x:row>
    <x:row r="96">
      <x:c r="A96" s="56" t="n">
        <x:v>95</x:v>
      </x:c>
      <x:c r="B96" s="56" t="n">
        <x:v>10</x:v>
      </x:c>
      <x:c r="C96" s="56" t="str">
        <x:v>🚨 異常轉強股</x:v>
      </x:c>
      <x:c r="D96" s="56" t="str">
        <x:v>自動頁種子池</x:v>
      </x:c>
      <x:c r="E96" s="56" t="str">
        <x:v>6531</x:v>
      </x:c>
      <x:c r="F96" s="56" t="str">
        <x:v>愛普*</x:v>
      </x:c>
      <x:c r="G96" s="56" t="str">
        <x:v>上市</x:v>
      </x:c>
      <x:c r="H96" s="56" t="str">
        <x:v>TW</x:v>
      </x:c>
      <x:c r="I96" s="56" t="str">
        <x:v>6531.TW</x:v>
      </x:c>
      <x:c r="J96" s="56" t="str">
        <x:v>特殊記憶體／AI</x:v>
      </x:c>
      <x:c r="K96" s="56" t="str">
        <x:v>https://www.twse.com.tw/</x:v>
      </x:c>
      <x:c r="L96" s="27" t="str"/>
      <x:c r="M96" s="27" t="str"/>
      <x:c r="N96" s="27" t="str"/>
      <x:c r="O96" s="28" t="str">
        <x:f>IF(L96&lt;&gt;"",L96,E96)</x:f>
        <x:v>6531</x:v>
      </x:c>
      <x:c r="P96" s="28" t="str">
        <x:f>IF(M96&lt;&gt;"",M96,F96)</x:f>
        <x:v>愛普*</x:v>
      </x:c>
      <x:c r="Q96" s="28" t="str">
        <x:f>IF(N96&lt;&gt;"",N96,G96)</x:f>
        <x:v>上市</x:v>
      </x:c>
      <x:c r="R96" s="28" t="str">
        <x:f>IF(Q96="上市","TW",IF(Q96="上櫃","TWO",""))</x:f>
        <x:v>TW</x:v>
      </x:c>
      <x:c r="S96" s="28" t="str">
        <x:f>IF(OR(O96="",R96=""),"",O96&amp;"."&amp;R96)</x:f>
        <x:v>6531.TW</x:v>
      </x:c>
      <x:c r="T96" s="26" t="str">
        <x:v>是</x:v>
      </x:c>
      <x:c r="U96" s="29" t="str"/>
    </x:row>
    <x:row r="97">
      <x:c r="A97" s="56" t="n">
        <x:v>96</x:v>
      </x:c>
      <x:c r="B97" s="56" t="n">
        <x:v>10</x:v>
      </x:c>
      <x:c r="C97" s="56" t="str">
        <x:v>🚨 異常轉強股</x:v>
      </x:c>
      <x:c r="D97" s="56" t="str">
        <x:v>自動頁種子池</x:v>
      </x:c>
      <x:c r="E97" s="56" t="str">
        <x:v>6789</x:v>
      </x:c>
      <x:c r="F97" s="56" t="str">
        <x:v>采鈺</x:v>
      </x:c>
      <x:c r="G97" s="56" t="str">
        <x:v>上市</x:v>
      </x:c>
      <x:c r="H97" s="56" t="str">
        <x:v>TW</x:v>
      </x:c>
      <x:c r="I97" s="56" t="str">
        <x:v>6789.TW</x:v>
      </x:c>
      <x:c r="J97" s="56" t="str">
        <x:v>CMOS影像／先進製程</x:v>
      </x:c>
      <x:c r="K97" s="56" t="str">
        <x:v>https://www.twse.com.tw/</x:v>
      </x:c>
      <x:c r="L97" s="27" t="str"/>
      <x:c r="M97" s="27" t="str"/>
      <x:c r="N97" s="27" t="str"/>
      <x:c r="O97" s="28" t="str">
        <x:f>IF(L97&lt;&gt;"",L97,E97)</x:f>
        <x:v>6789</x:v>
      </x:c>
      <x:c r="P97" s="28" t="str">
        <x:f>IF(M97&lt;&gt;"",M97,F97)</x:f>
        <x:v>采鈺</x:v>
      </x:c>
      <x:c r="Q97" s="28" t="str">
        <x:f>IF(N97&lt;&gt;"",N97,G97)</x:f>
        <x:v>上市</x:v>
      </x:c>
      <x:c r="R97" s="28" t="str">
        <x:f>IF(Q97="上市","TW",IF(Q97="上櫃","TWO",""))</x:f>
        <x:v>TW</x:v>
      </x:c>
      <x:c r="S97" s="28" t="str">
        <x:f>IF(OR(O97="",R97=""),"",O97&amp;"."&amp;R97)</x:f>
        <x:v>6789.TW</x:v>
      </x:c>
      <x:c r="T97" s="26" t="str">
        <x:v>是</x:v>
      </x:c>
      <x:c r="U97" s="29" t="str"/>
    </x:row>
    <x:row r="98">
      <x:c r="A98" s="56" t="n">
        <x:v>97</x:v>
      </x:c>
      <x:c r="B98" s="56" t="n">
        <x:v>10</x:v>
      </x:c>
      <x:c r="C98" s="56" t="str">
        <x:v>🚨 異常轉強股</x:v>
      </x:c>
      <x:c r="D98" s="56" t="str">
        <x:v>自動頁種子池</x:v>
      </x:c>
      <x:c r="E98" s="56" t="str">
        <x:v>6282</x:v>
      </x:c>
      <x:c r="F98" s="56" t="str">
        <x:v>康舒</x:v>
      </x:c>
      <x:c r="G98" s="56" t="str">
        <x:v>上市</x:v>
      </x:c>
      <x:c r="H98" s="56" t="str">
        <x:v>TW</x:v>
      </x:c>
      <x:c r="I98" s="56" t="str">
        <x:v>6282.TW</x:v>
      </x:c>
      <x:c r="J98" s="56" t="str">
        <x:v>電源／能源</x:v>
      </x:c>
      <x:c r="K98" s="56" t="str">
        <x:v>https://www.twse.com.tw/</x:v>
      </x:c>
      <x:c r="L98" s="27" t="str"/>
      <x:c r="M98" s="27" t="str"/>
      <x:c r="N98" s="27" t="str"/>
      <x:c r="O98" s="28" t="str">
        <x:f>IF(L98&lt;&gt;"",L98,E98)</x:f>
        <x:v>6282</x:v>
      </x:c>
      <x:c r="P98" s="28" t="str">
        <x:f>IF(M98&lt;&gt;"",M98,F98)</x:f>
        <x:v>康舒</x:v>
      </x:c>
      <x:c r="Q98" s="28" t="str">
        <x:f>IF(N98&lt;&gt;"",N98,G98)</x:f>
        <x:v>上市</x:v>
      </x:c>
      <x:c r="R98" s="28" t="str">
        <x:f>IF(Q98="上市","TW",IF(Q98="上櫃","TWO",""))</x:f>
        <x:v>TW</x:v>
      </x:c>
      <x:c r="S98" s="28" t="str">
        <x:f>IF(OR(O98="",R98=""),"",O98&amp;"."&amp;R98)</x:f>
        <x:v>6282.TW</x:v>
      </x:c>
      <x:c r="T98" s="26" t="str">
        <x:v>是</x:v>
      </x:c>
      <x:c r="U98" s="29" t="str"/>
    </x:row>
    <x:row r="99">
      <x:c r="A99" s="56" t="n">
        <x:v>98</x:v>
      </x:c>
      <x:c r="B99" s="56" t="n">
        <x:v>10</x:v>
      </x:c>
      <x:c r="C99" s="56" t="str">
        <x:v>🚨 異常轉強股</x:v>
      </x:c>
      <x:c r="D99" s="56" t="str">
        <x:v>自動頁種子池</x:v>
      </x:c>
      <x:c r="E99" s="56" t="str">
        <x:v>6781</x:v>
      </x:c>
      <x:c r="F99" s="56" t="str">
        <x:v>AES-KY</x:v>
      </x:c>
      <x:c r="G99" s="56" t="str">
        <x:v>上市</x:v>
      </x:c>
      <x:c r="H99" s="56" t="str">
        <x:v>TW</x:v>
      </x:c>
      <x:c r="I99" s="56" t="str">
        <x:v>6781.TW</x:v>
      </x:c>
      <x:c r="J99" s="56" t="str">
        <x:v>BBU／電池模組</x:v>
      </x:c>
      <x:c r="K99" s="56" t="str">
        <x:v>https://www.twse.com.tw/</x:v>
      </x:c>
      <x:c r="L99" s="27" t="str"/>
      <x:c r="M99" s="27" t="str"/>
      <x:c r="N99" s="27" t="str"/>
      <x:c r="O99" s="28" t="str">
        <x:f>IF(L99&lt;&gt;"",L99,E99)</x:f>
        <x:v>6781</x:v>
      </x:c>
      <x:c r="P99" s="28" t="str">
        <x:f>IF(M99&lt;&gt;"",M99,F99)</x:f>
        <x:v>AES-KY</x:v>
      </x:c>
      <x:c r="Q99" s="28" t="str">
        <x:f>IF(N99&lt;&gt;"",N99,G99)</x:f>
        <x:v>上市</x:v>
      </x:c>
      <x:c r="R99" s="28" t="str">
        <x:f>IF(Q99="上市","TW",IF(Q99="上櫃","TWO",""))</x:f>
        <x:v>TW</x:v>
      </x:c>
      <x:c r="S99" s="28" t="str">
        <x:f>IF(OR(O99="",R99=""),"",O99&amp;"."&amp;R99)</x:f>
        <x:v>6781.TW</x:v>
      </x:c>
      <x:c r="T99" s="26" t="str">
        <x:v>是</x:v>
      </x:c>
      <x:c r="U99" s="29" t="str"/>
    </x:row>
    <x:row r="100">
      <x:c r="A100" s="56" t="n">
        <x:v>99</x:v>
      </x:c>
      <x:c r="B100" s="56" t="n">
        <x:v>10</x:v>
      </x:c>
      <x:c r="C100" s="56" t="str">
        <x:v>🚨 異常轉強股</x:v>
      </x:c>
      <x:c r="D100" s="56" t="str">
        <x:v>自動頁種子池</x:v>
      </x:c>
      <x:c r="E100" s="56" t="str">
        <x:v>6805</x:v>
      </x:c>
      <x:c r="F100" s="56" t="str">
        <x:v>富世達</x:v>
      </x:c>
      <x:c r="G100" s="56" t="str">
        <x:v>上市</x:v>
      </x:c>
      <x:c r="H100" s="56" t="str">
        <x:v>TW</x:v>
      </x:c>
      <x:c r="I100" s="56" t="str">
        <x:v>6805.TW</x:v>
      </x:c>
      <x:c r="J100" s="56" t="str">
        <x:v>伺服器零組件／機構件</x:v>
      </x:c>
      <x:c r="K100" s="56" t="str">
        <x:v>https://www.twse.com.tw/</x:v>
      </x:c>
      <x:c r="L100" s="27" t="str"/>
      <x:c r="M100" s="27" t="str"/>
      <x:c r="N100" s="27" t="str"/>
      <x:c r="O100" s="28" t="str">
        <x:f>IF(L100&lt;&gt;"",L100,E100)</x:f>
        <x:v>6805</x:v>
      </x:c>
      <x:c r="P100" s="28" t="str">
        <x:f>IF(M100&lt;&gt;"",M100,F100)</x:f>
        <x:v>富世達</x:v>
      </x:c>
      <x:c r="Q100" s="28" t="str">
        <x:f>IF(N100&lt;&gt;"",N100,G100)</x:f>
        <x:v>上市</x:v>
      </x:c>
      <x:c r="R100" s="28" t="str">
        <x:f>IF(Q100="上市","TW",IF(Q100="上櫃","TWO",""))</x:f>
        <x:v>TW</x:v>
      </x:c>
      <x:c r="S100" s="28" t="str">
        <x:f>IF(OR(O100="",R100=""),"",O100&amp;"."&amp;R100)</x:f>
        <x:v>6805.TW</x:v>
      </x:c>
      <x:c r="T100" s="26" t="str">
        <x:v>是</x:v>
      </x:c>
      <x:c r="U100" s="29" t="str"/>
    </x:row>
    <x:row r="101">
      <x:c r="A101" s="56" t="n">
        <x:v>100</x:v>
      </x:c>
      <x:c r="B101" s="56" t="n">
        <x:v>10</x:v>
      </x:c>
      <x:c r="C101" s="56" t="str">
        <x:v>🚨 異常轉強股</x:v>
      </x:c>
      <x:c r="D101" s="56" t="str">
        <x:v>自動頁種子池</x:v>
      </x:c>
      <x:c r="E101" s="56" t="str">
        <x:v>3693</x:v>
      </x:c>
      <x:c r="F101" s="56" t="str">
        <x:v>營邦</x:v>
      </x:c>
      <x:c r="G101" s="56" t="str">
        <x:v>上櫃</x:v>
      </x:c>
      <x:c r="H101" s="56" t="str">
        <x:v>TWO</x:v>
      </x:c>
      <x:c r="I101" s="56" t="str">
        <x:v>3693.TWO</x:v>
      </x:c>
      <x:c r="J101" s="56" t="str">
        <x:v>AI伺服器機殼</x:v>
      </x:c>
      <x:c r="K101" s="56" t="str">
        <x:v>https://www.tpex.org.tw/</x:v>
      </x:c>
      <x:c r="L101" s="27" t="str"/>
      <x:c r="M101" s="27" t="str"/>
      <x:c r="N101" s="27" t="str"/>
      <x:c r="O101" s="28" t="str">
        <x:f>IF(L101&lt;&gt;"",L101,E101)</x:f>
        <x:v>3693</x:v>
      </x:c>
      <x:c r="P101" s="28" t="str">
        <x:f>IF(M101&lt;&gt;"",M101,F101)</x:f>
        <x:v>營邦</x:v>
      </x:c>
      <x:c r="Q101" s="28" t="str">
        <x:f>IF(N101&lt;&gt;"",N101,G101)</x:f>
        <x:v>上櫃</x:v>
      </x:c>
      <x:c r="R101" s="28" t="str">
        <x:f>IF(Q101="上市","TW",IF(Q101="上櫃","TWO",""))</x:f>
        <x:v>TWO</x:v>
      </x:c>
      <x:c r="S101" s="28" t="str">
        <x:f>IF(OR(O101="",R101=""),"",O101&amp;"."&amp;R101)</x:f>
        <x:v>3693.TWO</x:v>
      </x:c>
      <x:c r="T101" s="26" t="str">
        <x:v>是</x:v>
      </x:c>
      <x:c r="U101" s="29" t="str"/>
    </x:row>
  </x:sheetData>
  <x:dataValidations count="2">
    <x:dataValidation type="list" sqref="N2:N101">
      <x:formula1>"上市,上櫃"</x:formula1>
    </x:dataValidation>
    <x:dataValidation type="list" sqref="T2:T10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11315d5a9243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4" hidden="0" customWidth="1"/>
    <x:col min="4" max="4" width="58" hidden="0" customWidth="1"/>
    <x:col min="5" max="5" width="16" hidden="0" customWidth="1"/>
  </x:cols>
  <x:sheetData>
    <x:row r="1">
      <x:c r="A1" s="58" t="str">
        <x:v>頁面</x:v>
      </x:c>
      <x:c r="B1" s="58" t="str">
        <x:v>名稱</x:v>
      </x:c>
      <x:c r="C1" s="58" t="str">
        <x:v>資料來源</x:v>
      </x:c>
      <x:c r="D1" s="58" t="str">
        <x:v>顯示邏輯</x:v>
      </x:c>
      <x:c r="E1" s="58" t="str">
        <x:v>是否固定10檔</x:v>
      </x:c>
    </x:row>
    <x:row r="2">
      <x:c r="A2" s="26" t="str">
        <x:v>首頁</x:v>
      </x:c>
      <x:c r="B2" s="26" t="str">
        <x:v>🏆 DAVID 今日 TOP 10</x:v>
      </x:c>
      <x:c r="C2" s="26" t="str">
        <x:v>100檔總池</x:v>
      </x:c>
      <x:c r="D2" s="26" t="str">
        <x:v>依 DAVID SCORE 由高到低自動選10檔；單一族群預設最多3檔</x:v>
      </x:c>
      <x:c r="E2" s="26" t="str">
        <x:v>否</x:v>
      </x:c>
    </x:row>
    <x:row r="3">
      <x:c r="A3" s="26" t="str">
        <x:v>Page 1</x:v>
      </x:c>
      <x:c r="B3" s="26" t="str">
        <x:v>AI伺服器／ASIC／核心運算</x:v>
      </x:c>
      <x:c r="C3" s="26" t="str">
        <x:v>1-10</x:v>
      </x:c>
      <x:c r="D3" s="26" t="str">
        <x:v>固定核心10檔</x:v>
      </x:c>
      <x:c r="E3" s="26" t="str">
        <x:v>是</x:v>
      </x:c>
    </x:row>
    <x:row r="4">
      <x:c r="A4" s="26" t="str">
        <x:v>Page 2</x:v>
      </x:c>
      <x:c r="B4" s="26" t="str">
        <x:v>PCB／CCL／ABF載板</x:v>
      </x:c>
      <x:c r="C4" s="26" t="str">
        <x:v>11-20</x:v>
      </x:c>
      <x:c r="D4" s="26" t="str">
        <x:v>固定核心10檔</x:v>
      </x:c>
      <x:c r="E4" s="26" t="str">
        <x:v>是</x:v>
      </x:c>
    </x:row>
    <x:row r="5">
      <x:c r="A5" s="26" t="str">
        <x:v>Page 3</x:v>
      </x:c>
      <x:c r="B5" s="26" t="str">
        <x:v>CPO／光通訊／高速網路</x:v>
      </x:c>
      <x:c r="C5" s="26" t="str">
        <x:v>21-30</x:v>
      </x:c>
      <x:c r="D5" s="26" t="str">
        <x:v>固定核心10檔</x:v>
      </x:c>
      <x:c r="E5" s="26" t="str">
        <x:v>是</x:v>
      </x:c>
    </x:row>
    <x:row r="6">
      <x:c r="A6" s="26" t="str">
        <x:v>Page 4</x:v>
      </x:c>
      <x:c r="B6" s="26" t="str">
        <x:v>散熱／液冷／電源</x:v>
      </x:c>
      <x:c r="C6" s="26" t="str">
        <x:v>31-40</x:v>
      </x:c>
      <x:c r="D6" s="26" t="str">
        <x:v>固定核心10檔</x:v>
      </x:c>
      <x:c r="E6" s="26" t="str">
        <x:v>是</x:v>
      </x:c>
    </x:row>
    <x:row r="7">
      <x:c r="A7" s="26" t="str">
        <x:v>Page 5</x:v>
      </x:c>
      <x:c r="B7" s="26" t="str">
        <x:v>記憶體／儲存</x:v>
      </x:c>
      <x:c r="C7" s="26" t="str">
        <x:v>41-50</x:v>
      </x:c>
      <x:c r="D7" s="26" t="str">
        <x:v>固定核心10檔</x:v>
      </x:c>
      <x:c r="E7" s="26" t="str">
        <x:v>是</x:v>
      </x:c>
    </x:row>
    <x:row r="8">
      <x:c r="A8" s="26" t="str">
        <x:v>Page 6</x:v>
      </x:c>
      <x:c r="B8" s="26" t="str">
        <x:v>被動元件／矽晶圓／先進封測</x:v>
      </x:c>
      <x:c r="C8" s="26" t="str">
        <x:v>51-60</x:v>
      </x:c>
      <x:c r="D8" s="26" t="str">
        <x:v>固定核心10檔</x:v>
      </x:c>
      <x:c r="E8" s="26" t="str">
        <x:v>是</x:v>
      </x:c>
    </x:row>
    <x:row r="9">
      <x:c r="A9" s="26" t="str">
        <x:v>Page 7</x:v>
      </x:c>
      <x:c r="B9" s="26" t="str">
        <x:v>DAVID自選A／設備測試材料</x:v>
      </x:c>
      <x:c r="C9" s="26" t="str">
        <x:v>61-70</x:v>
      </x:c>
      <x:c r="D9" s="26" t="str">
        <x:v>DAVID可直接修正10檔</x:v>
      </x:c>
      <x:c r="E9" s="26" t="str">
        <x:v>是</x:v>
      </x:c>
    </x:row>
    <x:row r="10">
      <x:c r="A10" s="26" t="str">
        <x:v>Page 8</x:v>
      </x:c>
      <x:c r="B10" s="26" t="str">
        <x:v>DAVID自選B／輪動與機器人</x:v>
      </x:c>
      <x:c r="C10" s="26" t="str">
        <x:v>71-80</x:v>
      </x:c>
      <x:c r="D10" s="26" t="str">
        <x:v>DAVID可直接修正10檔</x:v>
      </x:c>
      <x:c r="E10" s="26" t="str">
        <x:v>是</x:v>
      </x:c>
    </x:row>
    <x:row r="11">
      <x:c r="A11" s="26" t="str">
        <x:v>Page 9</x:v>
      </x:c>
      <x:c r="B11" s="26" t="str">
        <x:v>🔥 本週熱門候補</x:v>
      </x:c>
      <x:c r="C11" s="26" t="str">
        <x:v>100檔總池（81-90為初始種子）</x:v>
      </x:c>
      <x:c r="D11" s="26" t="str">
        <x:v>依近5日動能、量能、排名上升、20日突破等自動挑選</x:v>
      </x:c>
      <x:c r="E11" s="26" t="str">
        <x:v>否</x:v>
      </x:c>
    </x:row>
    <x:row r="12">
      <x:c r="A12" s="26" t="str">
        <x:v>Page 10</x:v>
      </x:c>
      <x:c r="B12" s="26" t="str">
        <x:v>🚨 異常轉強股</x:v>
      </x:c>
      <x:c r="C12" s="26" t="str">
        <x:v>100檔總池（91-100為初始種子）</x:v>
      </x:c>
      <x:c r="D12" s="26" t="str">
        <x:v>依單日量價異常、買分跳升、MACD/均線翻多、排名跳升自動挑選</x:v>
      </x:c>
      <x:c r="E12" s="26" t="str">
        <x:v>否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2" hidden="0" customWidth="1"/>
    <x:col min="4" max="4" width="48" hidden="0" customWidth="1"/>
  </x:cols>
  <x:sheetData>
    <x:row r="1">
      <x:c r="A1" s="66" t="str">
        <x:v>功能</x:v>
      </x:c>
      <x:c r="B1" s="66" t="str">
        <x:v>指標</x:v>
      </x:c>
      <x:c r="C1" s="66" t="str">
        <x:v>建議權重／條件</x:v>
      </x:c>
      <x:c r="D1" s="66" t="str">
        <x:v>說明</x:v>
      </x:c>
    </x:row>
    <x:row r="2">
      <x:c r="A2" s="26" t="str">
        <x:v>首頁TOP10</x:v>
      </x:c>
      <x:c r="B2" s="26" t="str">
        <x:v>六買訊號</x:v>
      </x:c>
      <x:c r="C2" s="26" t="str">
        <x:v>30%</x:v>
      </x:c>
      <x:c r="D2" s="26" t="str">
        <x:v>買分越高越強</x:v>
      </x:c>
    </x:row>
    <x:row r="3">
      <x:c r="A3" s="26" t="str">
        <x:v>首頁TOP10</x:v>
      </x:c>
      <x:c r="B3" s="26" t="str">
        <x:v>六賣反向扣分</x:v>
      </x:c>
      <x:c r="C3" s="26" t="str">
        <x:v>15%</x:v>
      </x:c>
      <x:c r="D3" s="26" t="str">
        <x:v>賣分越低越佳</x:v>
      </x:c>
    </x:row>
    <x:row r="4">
      <x:c r="A4" s="26" t="str">
        <x:v>首頁TOP10</x:v>
      </x:c>
      <x:c r="B4" s="26" t="str">
        <x:v>MACD動能</x:v>
      </x:c>
      <x:c r="C4" s="26" t="str">
        <x:v>15%</x:v>
      </x:c>
      <x:c r="D4" s="26" t="str">
        <x:v>Histogram翻正與擴大加分</x:v>
      </x:c>
    </x:row>
    <x:row r="5">
      <x:c r="A5" s="26" t="str">
        <x:v>首頁TOP10</x:v>
      </x:c>
      <x:c r="B5" s="26" t="str">
        <x:v>量比／成交量</x:v>
      </x:c>
      <x:c r="C5" s="26" t="str">
        <x:v>10%</x:v>
      </x:c>
      <x:c r="D5" s="26" t="str">
        <x:v>量能放大但避免極端爆量</x:v>
      </x:c>
    </x:row>
    <x:row r="6">
      <x:c r="A6" s="26" t="str">
        <x:v>首頁TOP10</x:v>
      </x:c>
      <x:c r="B6" s="26" t="str">
        <x:v>MA5／MA20趨勢</x:v>
      </x:c>
      <x:c r="C6" s="26" t="str">
        <x:v>10%</x:v>
      </x:c>
      <x:c r="D6" s="26" t="str">
        <x:v>多頭排列與突破加分</x:v>
      </x:c>
    </x:row>
    <x:row r="7">
      <x:c r="A7" s="26" t="str">
        <x:v>首頁TOP10</x:v>
      </x:c>
      <x:c r="B7" s="26" t="str">
        <x:v>Bias乖離</x:v>
      </x:c>
      <x:c r="C7" s="26" t="str">
        <x:v>5%</x:v>
      </x:c>
      <x:c r="D7" s="26" t="str">
        <x:v>過度乖離扣分</x:v>
      </x:c>
    </x:row>
    <x:row r="8">
      <x:c r="A8" s="26" t="str">
        <x:v>首頁TOP10</x:v>
      </x:c>
      <x:c r="B8" s="26" t="str">
        <x:v>Fibonacci位置</x:v>
      </x:c>
      <x:c r="C8" s="26" t="str">
        <x:v>10%</x:v>
      </x:c>
      <x:c r="D8" s="26" t="str">
        <x:v>突破／強勢區加分</x:v>
      </x:c>
    </x:row>
    <x:row r="9">
      <x:c r="A9" s="26" t="str">
        <x:v>首頁TOP10</x:v>
      </x:c>
      <x:c r="B9" s="26" t="str">
        <x:v>20日趨勢持續性</x:v>
      </x:c>
      <x:c r="C9" s="26" t="str">
        <x:v>5%</x:v>
      </x:c>
      <x:c r="D9" s="26" t="str">
        <x:v>近5日與20日排名改善加分</x:v>
      </x:c>
    </x:row>
    <x:row r="10">
      <x:c r="A10" s="26" t="str">
        <x:v>Page 9 本週熱門候補</x:v>
      </x:c>
      <x:c r="B10" s="26" t="str">
        <x:v>近5日報酬</x:v>
      </x:c>
      <x:c r="C10" s="26" t="str">
        <x:v>20%</x:v>
      </x:c>
      <x:c r="D10" s="26" t="str">
        <x:v>相對強勢</x:v>
      </x:c>
    </x:row>
    <x:row r="11">
      <x:c r="A11" s="26" t="str">
        <x:v>Page 9 本週熱門候補</x:v>
      </x:c>
      <x:c r="B11" s="26" t="str">
        <x:v>近5日平均量比</x:v>
      </x:c>
      <x:c r="C11" s="26" t="str">
        <x:v>20%</x:v>
      </x:c>
      <x:c r="D11" s="26" t="str">
        <x:v>資金進場</x:v>
      </x:c>
    </x:row>
    <x:row r="12">
      <x:c r="A12" s="26" t="str">
        <x:v>Page 9 本週熱門候補</x:v>
      </x:c>
      <x:c r="B12" s="26" t="str">
        <x:v>六買分數變化</x:v>
      </x:c>
      <x:c r="C12" s="26" t="str">
        <x:v>20%</x:v>
      </x:c>
      <x:c r="D12" s="26" t="str">
        <x:v>本週明顯增加優先</x:v>
      </x:c>
    </x:row>
    <x:row r="13">
      <x:c r="A13" s="26" t="str">
        <x:v>Page 9 本週熱門候補</x:v>
      </x:c>
      <x:c r="B13" s="26" t="str">
        <x:v>20日新高／突破</x:v>
      </x:c>
      <x:c r="C13" s="26" t="str">
        <x:v>15%</x:v>
      </x:c>
      <x:c r="D13" s="26" t="str">
        <x:v>突破壓力區加分</x:v>
      </x:c>
    </x:row>
    <x:row r="14">
      <x:c r="A14" s="26" t="str">
        <x:v>Page 9 本週熱門候補</x:v>
      </x:c>
      <x:c r="B14" s="26" t="str">
        <x:v>族群強度</x:v>
      </x:c>
      <x:c r="C14" s="26" t="str">
        <x:v>15%</x:v>
      </x:c>
      <x:c r="D14" s="26" t="str">
        <x:v>所屬族群同步轉強加分</x:v>
      </x:c>
    </x:row>
    <x:row r="15">
      <x:c r="A15" s="26" t="str">
        <x:v>Page 9 本週熱門候補</x:v>
      </x:c>
      <x:c r="B15" s="26" t="str">
        <x:v>過熱扣分</x:v>
      </x:c>
      <x:c r="C15" s="26" t="str">
        <x:v>-10%</x:v>
      </x:c>
      <x:c r="D15" s="26" t="str">
        <x:v>乖離過大或六賣快速增加降分</x:v>
      </x:c>
    </x:row>
    <x:row r="16">
      <x:c r="A16" s="26" t="str">
        <x:v>Page 10 異常轉強股</x:v>
      </x:c>
      <x:c r="B16" s="26" t="str">
        <x:v>單日成交量突增</x:v>
      </x:c>
      <x:c r="C16" s="26" t="str">
        <x:v>25%</x:v>
      </x:c>
      <x:c r="D16" s="26" t="str">
        <x:v>量比&gt;1.8優先，&gt;2.5高度關注</x:v>
      </x:c>
    </x:row>
    <x:row r="17">
      <x:c r="A17" s="26" t="str">
        <x:v>Page 10 異常轉強股</x:v>
      </x:c>
      <x:c r="B17" s="26" t="str">
        <x:v>買分跳升</x:v>
      </x:c>
      <x:c r="C17" s="26" t="str">
        <x:v>25%</x:v>
      </x:c>
      <x:c r="D17" s="26" t="str">
        <x:v>較前一日增加&gt;=2優先</x:v>
      </x:c>
    </x:row>
    <x:row r="18">
      <x:c r="A18" s="26" t="str">
        <x:v>Page 10 異常轉強股</x:v>
      </x:c>
      <x:c r="B18" s="26" t="str">
        <x:v>排名跳升</x:v>
      </x:c>
      <x:c r="C18" s="26" t="str">
        <x:v>20%</x:v>
      </x:c>
      <x:c r="D18" s="26" t="str">
        <x:v>昨日&gt;40名、今日進前20名最典型</x:v>
      </x:c>
    </x:row>
    <x:row r="19">
      <x:c r="A19" s="26" t="str">
        <x:v>Page 10 異常轉強股</x:v>
      </x:c>
      <x:c r="B19" s="26" t="str">
        <x:v>MACD翻正</x:v>
      </x:c>
      <x:c r="C19" s="26" t="str">
        <x:v>10%</x:v>
      </x:c>
      <x:c r="D19" s="26" t="str">
        <x:v>負轉正或柱體快速擴大</x:v>
      </x:c>
    </x:row>
    <x:row r="20">
      <x:c r="A20" s="26" t="str">
        <x:v>Page 10 異常轉強股</x:v>
      </x:c>
      <x:c r="B20" s="26" t="str">
        <x:v>MA5突破MA20</x:v>
      </x:c>
      <x:c r="C20" s="26" t="str">
        <x:v>10%</x:v>
      </x:c>
      <x:c r="D20" s="26" t="str">
        <x:v>短均突破中均</x:v>
      </x:c>
    </x:row>
    <x:row r="21">
      <x:c r="A21" s="26" t="str">
        <x:v>Page 10 異常轉強股</x:v>
      </x:c>
      <x:c r="B21" s="26" t="str">
        <x:v>決策翻多</x:v>
      </x:c>
      <x:c r="C21" s="26" t="str">
        <x:v>10%</x:v>
      </x:c>
      <x:c r="D21" s="26" t="str">
        <x:v>由觀察／偏空轉為偏多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5" hidden="0" customWidth="1"/>
  </x:cols>
  <x:sheetData>
    <x:row r="1">
      <x:c r="A1" s="74" t="str">
        <x:v>步驟</x:v>
      </x:c>
      <x:c r="B1" s="74" t="str">
        <x:v>操作</x:v>
      </x:c>
    </x:row>
    <x:row r="2">
      <x:c r="A2" s="26" t="str">
        <x:v>1</x:v>
      </x:c>
      <x:c r="B2" s="26" t="str">
        <x:v>請只在「100檔總表_請修正」黃色欄位 L～N 填寫要修改的股票代碼、公司名稱、市場。沒有要改的列請留白。</x:v>
      </x:c>
    </x:row>
    <x:row r="3">
      <x:c r="A3" s="26" t="str">
        <x:v>2</x:v>
      </x:c>
      <x:c r="B3" s="26" t="str">
        <x:v>上市請選「上市」；上櫃請選「上櫃」。Excel會自動產生最終V13代號 TW/TWO 與 Yahoo Symbol。</x:v>
      </x:c>
    </x:row>
    <x:row r="4">
      <x:c r="A4" s="26" t="str">
        <x:v>3</x:v>
      </x:c>
      <x:c r="B4" s="26" t="str">
        <x:v>若某檔暫時不追蹤，可將 T欄「啟用」改為「否」。</x:v>
      </x:c>
    </x:row>
    <x:row r="5">
      <x:c r="A5" s="26" t="str">
        <x:v>4</x:v>
      </x:c>
      <x:c r="B5" s="26" t="str">
        <x:v>修改完成後，直接把這份 Excel 上傳給 ChatGPT；不需要另外整理文字。</x:v>
      </x:c>
    </x:row>
    <x:row r="6">
      <x:c r="A6" s="26" t="str">
        <x:v>5</x:v>
      </x:c>
      <x:c r="B6" s="26" t="str">
        <x:v>收到修正版後，將以「最終代碼／最終公司名稱／最終市場」為準，產生 V13 100檔設定檔與程式升級版。</x:v>
      </x:c>
    </x:row>
    <x:row r="7">
      <x:c r="A7" s="26" t="str">
        <x:v>6</x:v>
      </x:c>
      <x:c r="B7" s="26" t="str">
        <x:v>網頁升級後會重新抓取100檔最新行情；首頁TOP10、Page 9、Page 10均由100檔總池重新運算。</x:v>
      </x:c>
    </x:row>
    <x:row r="8">
      <x:c r="A8" s="26" t="str">
        <x:v>7</x:v>
      </x:c>
      <x:c r="B8" s="26" t="str">
        <x:v>新加入股票的20日歷史：升級版將安排首次回補歷史資料；既有Supabase資料不刪除。</x:v>
      </x:c>
    </x:row>
    <x:row r="9">
      <x:c r="A9" s="26" t="str">
        <x:v>8</x:v>
      </x:c>
      <x:c r="B9" s="26" t="str">
        <x:v>Page 9／10表內的81-100列是『初始種子池』，實際網頁顯示仍以100檔自動排名結果為準，不限制只顯示這20檔。</x:v>
      </x:c>
    </x:row>
  </x:sheetData>
  <x:pageMargins left="0.7" right="0.7" top="0.75" bottom="0.75" header="0.3" footer="0.3"/>
</x:worksheet>
</file>